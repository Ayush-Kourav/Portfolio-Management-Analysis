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2" autoFilterDateGrouping="1"/>
  </bookViews>
  <sheets>
    <sheet xmlns:r="http://schemas.openxmlformats.org/officeDocument/2006/relationships" name="Portfolio Analysis" sheetId="1" state="visible" r:id="rId1"/>
    <sheet xmlns:r="http://schemas.openxmlformats.org/officeDocument/2006/relationships" name="Model Checks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Holdings as on" sheetId="4" state="visible" r:id="rId4"/>
    <sheet xmlns:r="http://schemas.openxmlformats.org/officeDocument/2006/relationships" name="Daily valuatio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d\ mmm\ yy"/>
    <numFmt numFmtId="165" formatCode="0.0%"/>
    <numFmt numFmtId="166" formatCode="0.0"/>
    <numFmt numFmtId="167" formatCode="#,##0.0"/>
    <numFmt numFmtId="168" formatCode="dd-mmm-yyyy"/>
    <numFmt numFmtId="169" formatCode="0.000"/>
  </numFmts>
  <fonts count="16">
    <font>
      <name val="Arial"/>
      <color rgb="FF000000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FFFFFF"/>
      <sz val="10"/>
      <scheme val="minor"/>
    </font>
    <font>
      <name val="Arial"/>
      <family val="2"/>
      <b val="1"/>
      <color rgb="FFFFFFFF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sz val="8"/>
      <scheme val="minor"/>
    </font>
    <font>
      <b val="1"/>
      <color rgb="00FFFFFF"/>
      <sz val="20"/>
    </font>
    <font>
      <i val="1"/>
      <color rgb="00666666"/>
    </font>
    <font>
      <b val="1"/>
      <color rgb="00FFFFFF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</borders>
  <cellStyleXfs count="2">
    <xf numFmtId="0" fontId="0" fillId="0" borderId="0"/>
    <xf numFmtId="9" fontId="8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3" borderId="0" pivotButton="0" quotePrefix="0" xfId="0"/>
    <xf numFmtId="9" fontId="2" fillId="0" borderId="0" pivotButton="0" quotePrefix="0" xfId="0"/>
    <xf numFmtId="164" fontId="2" fillId="2" borderId="0" pivotButton="0" quotePrefix="0" xfId="0"/>
    <xf numFmtId="0" fontId="2" fillId="0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2" fillId="4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9" fontId="2" fillId="4" borderId="0" applyAlignment="1" pivotButton="0" quotePrefix="0" xfId="1">
      <alignment horizontal="center"/>
    </xf>
    <xf numFmtId="2" fontId="2" fillId="4" borderId="0" applyAlignment="1" pivotButton="0" quotePrefix="0" xfId="0">
      <alignment horizontal="center"/>
    </xf>
    <xf numFmtId="165" fontId="2" fillId="4" borderId="0" applyAlignment="1" pivotButton="0" quotePrefix="0" xfId="1">
      <alignment horizontal="center"/>
    </xf>
    <xf numFmtId="165" fontId="2" fillId="2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wrapText="1"/>
    </xf>
    <xf numFmtId="165" fontId="9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0" fontId="8" fillId="5" borderId="0" pivotButton="0" quotePrefix="0" xfId="0"/>
    <xf numFmtId="0" fontId="0" fillId="5" borderId="0" pivotButton="0" quotePrefix="0" xfId="0"/>
    <xf numFmtId="0" fontId="11" fillId="6" borderId="1" pivotButton="0" quotePrefix="0" xfId="0"/>
    <xf numFmtId="0" fontId="0" fillId="0" borderId="1" pivotButton="0" quotePrefix="0" xfId="0"/>
    <xf numFmtId="0" fontId="12" fillId="0" borderId="1" pivotButton="0" quotePrefix="0" xfId="0"/>
    <xf numFmtId="0" fontId="13" fillId="6" borderId="1" pivotButton="0" quotePrefix="0" xfId="0"/>
    <xf numFmtId="0" fontId="14" fillId="7" borderId="1" pivotButton="0" quotePrefix="0" xfId="0"/>
    <xf numFmtId="10" fontId="0" fillId="0" borderId="1" pivotButton="0" quotePrefix="0" xfId="0"/>
    <xf numFmtId="0" fontId="0" fillId="8" borderId="1" applyAlignment="1" pivotButton="0" quotePrefix="0" xfId="0">
      <alignment vertical="top" wrapText="1"/>
    </xf>
    <xf numFmtId="0" fontId="15" fillId="6" borderId="1" applyAlignment="1" pivotButton="0" quotePrefix="0" xfId="0">
      <alignment horizontal="center" wrapText="1"/>
    </xf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0" fontId="15" fillId="6" borderId="1" pivotButton="0" quotePrefix="0" xfId="0"/>
    <xf numFmtId="0" fontId="11" fillId="6" borderId="0" pivotButton="0" quotePrefix="0" xfId="0"/>
    <xf numFmtId="0" fontId="15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2" pivotButton="0" quotePrefix="0" xfId="0"/>
    <xf numFmtId="168" fontId="0" fillId="0" borderId="1" pivotButton="0" quotePrefix="0" xfId="0"/>
    <xf numFmtId="169" fontId="0" fillId="0" borderId="1" pivotButton="0" quotePrefix="0" xfId="0"/>
    <xf numFmtId="10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vs Benchmark Growth</a:t>
            </a:r>
          </a:p>
        </rich>
      </tx>
    </title>
    <plotArea>
      <lineChart>
        <grouping val="standard"/>
        <ser>
          <idx val="0"/>
          <order val="0"/>
          <tx>
            <strRef>
              <f>'Portfolio Analysis'!E19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Analysis'!$A$20:$A$29</f>
            </numRef>
          </cat>
          <val>
            <numRef>
              <f>'Portfolio Analysis'!$E$20:$E$29</f>
            </numRef>
          </val>
        </ser>
        <ser>
          <idx val="1"/>
          <order val="1"/>
          <tx>
            <strRef>
              <f>'Portfolio Analysis'!F19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'Portfolio Analysis'!$A$20:$A$29</f>
            </numRef>
          </cat>
          <val>
            <numRef>
              <f>'Portfolio Analysis'!$F$20:$F$29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Indexed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Portfolio vs Nifty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Analysis'!C19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Analysis'!$A$20:$A$29</f>
            </numRef>
          </cat>
          <val>
            <numRef>
              <f>'Portfolio Analysis'!$C$20:$C$29</f>
            </numRef>
          </val>
        </ser>
        <ser>
          <idx val="1"/>
          <order val="1"/>
          <tx>
            <strRef>
              <f>'Portfolio Analysis'!D19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Analysis'!$A$20:$A$29</f>
            </numRef>
          </cat>
          <val>
            <numRef>
              <f>'Portfolio Analysis'!$D$20:$D$29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Daily 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neyworks4me.com/best-index/bse-stocks/top-bse500-companies-list" TargetMode="External" Id="rId1"/><Relationship Type="http://schemas.openxmlformats.org/officeDocument/2006/relationships/hyperlink" Target="https://www.screener.in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  <col width="18" customWidth="1" min="5" max="5"/>
    <col width="20" customWidth="1" min="6" max="6"/>
    <col width="16" customWidth="1" min="7" max="7"/>
    <col width="24" customWidth="1" min="8" max="8"/>
    <col width="24" customWidth="1" min="9" max="9"/>
    <col width="18" customWidth="1" min="10" max="10"/>
  </cols>
  <sheetData>
    <row r="1">
      <c r="A1" s="34" t="inlineStr">
        <is>
          <t>Portfolio Management Analysis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</row>
    <row r="2">
      <c r="A2" s="36" t="inlineStr">
        <is>
          <t>Corrected analysis based on the source portfolio and 10 available daily observations (01-Jul-2026 to 10-Jul-2026).</t>
        </is>
      </c>
      <c r="B2" s="52" t="n"/>
      <c r="C2" s="52" t="n"/>
      <c r="D2" s="52" t="n"/>
      <c r="E2" s="52" t="n"/>
      <c r="F2" s="52" t="n"/>
      <c r="G2" s="52" t="n"/>
      <c r="H2" s="52" t="n"/>
      <c r="I2" s="52" t="n"/>
      <c r="J2" s="52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>
      <c r="A4" s="37" t="inlineStr">
        <is>
          <t>Portfolio Summary</t>
        </is>
      </c>
      <c r="B4" s="52" t="n"/>
      <c r="C4" s="52" t="n"/>
      <c r="D4" s="52" t="n"/>
      <c r="E4" s="35" t="n"/>
      <c r="F4" s="35" t="n"/>
      <c r="G4" s="35" t="n"/>
      <c r="H4" s="35" t="n"/>
      <c r="I4" s="35" t="n"/>
      <c r="J4" s="35" t="n"/>
    </row>
    <row r="5">
      <c r="A5" s="38" t="inlineStr">
        <is>
          <t>Initial Portfolio Capital (₹ Cr)</t>
        </is>
      </c>
      <c r="B5" s="35" t="n">
        <v>100.58</v>
      </c>
      <c r="C5" s="35" t="n"/>
      <c r="D5" s="35" t="n"/>
      <c r="E5" s="35" t="n"/>
      <c r="F5" s="35" t="n"/>
      <c r="G5" s="35" t="n"/>
      <c r="H5" s="35" t="n"/>
      <c r="I5" s="35" t="n"/>
      <c r="J5" s="35" t="n"/>
    </row>
    <row r="6">
      <c r="A6" s="38" t="inlineStr">
        <is>
          <t>Initial Benchmark NAV</t>
        </is>
      </c>
      <c r="B6" s="35" t="n">
        <v>100</v>
      </c>
      <c r="C6" s="35" t="n"/>
      <c r="D6" s="35" t="n"/>
      <c r="E6" s="35" t="n"/>
      <c r="F6" s="35" t="n"/>
      <c r="G6" s="35" t="n"/>
      <c r="H6" s="35" t="n"/>
      <c r="I6" s="35" t="n"/>
      <c r="J6" s="35" t="n"/>
    </row>
    <row r="7">
      <c r="A7" s="38" t="inlineStr">
        <is>
          <t>Portfolio Cumulative Return</t>
        </is>
      </c>
      <c r="B7" s="39" t="n">
        <v>0.0227043269418199</v>
      </c>
      <c r="C7" s="35" t="n"/>
      <c r="D7" s="35" t="n"/>
      <c r="E7" s="35" t="n"/>
      <c r="F7" s="35" t="n"/>
      <c r="G7" s="35" t="n"/>
      <c r="H7" s="35" t="n"/>
      <c r="I7" s="35" t="n"/>
      <c r="J7" s="35" t="n"/>
    </row>
    <row r="8">
      <c r="A8" s="38" t="inlineStr">
        <is>
          <t>Benchmark Cumulative Return</t>
        </is>
      </c>
      <c r="B8" s="39" t="n">
        <v>0.01493816033461082</v>
      </c>
      <c r="C8" s="35" t="n"/>
      <c r="D8" s="35" t="n"/>
      <c r="E8" s="35" t="n"/>
      <c r="F8" s="35" t="n"/>
      <c r="G8" s="35" t="n"/>
      <c r="H8" s="35" t="n"/>
      <c r="I8" s="35" t="n"/>
      <c r="J8" s="35" t="n"/>
    </row>
    <row r="9">
      <c r="A9" s="38" t="inlineStr">
        <is>
          <t>Relative Performance</t>
        </is>
      </c>
      <c r="B9" s="39" t="n">
        <v>0.00776616660720908</v>
      </c>
      <c r="C9" s="35" t="n"/>
      <c r="D9" s="35" t="n"/>
      <c r="E9" s="35" t="n"/>
      <c r="F9" s="35" t="n"/>
      <c r="G9" s="35" t="n"/>
      <c r="H9" s="35" t="n"/>
      <c r="I9" s="35" t="n"/>
      <c r="J9" s="35" t="n"/>
    </row>
    <row r="10">
      <c r="A10" s="38" t="inlineStr">
        <is>
          <t>Annualized Portfolio Return (illustrative)</t>
        </is>
      </c>
      <c r="B10" s="39" t="n">
        <v>0.7607688794479819</v>
      </c>
      <c r="C10" s="35" t="n"/>
      <c r="D10" s="35" t="n"/>
      <c r="E10" s="35" t="n"/>
      <c r="F10" s="35" t="n"/>
      <c r="G10" s="35" t="n"/>
      <c r="H10" s="35" t="n"/>
      <c r="I10" s="35" t="n"/>
      <c r="J10" s="35" t="n"/>
    </row>
    <row r="11">
      <c r="A11" s="38" t="inlineStr">
        <is>
          <t>Annualized Benchmark Return (illustrative)</t>
        </is>
      </c>
      <c r="B11" s="39" t="n">
        <v>0.4530396294567334</v>
      </c>
      <c r="C11" s="35" t="n"/>
      <c r="D11" s="35" t="n"/>
      <c r="E11" s="35" t="n"/>
      <c r="F11" s="35" t="n"/>
      <c r="G11" s="35" t="n"/>
      <c r="H11" s="35" t="n"/>
      <c r="I11" s="35" t="n"/>
      <c r="J11" s="35" t="n"/>
    </row>
    <row r="12">
      <c r="A12" s="38" t="inlineStr">
        <is>
          <t>Beta (10-day sample)</t>
        </is>
      </c>
      <c r="B12" s="35" t="n">
        <v>0.7788609170951767</v>
      </c>
      <c r="C12" s="35" t="n"/>
      <c r="D12" s="35" t="n"/>
      <c r="E12" s="35" t="n"/>
      <c r="F12" s="35" t="n"/>
      <c r="G12" s="35" t="n"/>
      <c r="H12" s="35" t="n"/>
      <c r="I12" s="35" t="n"/>
      <c r="J12" s="35" t="n"/>
    </row>
    <row r="13">
      <c r="A13" s="38" t="inlineStr">
        <is>
          <t>Treynor Ratio (illustrative)</t>
        </is>
      </c>
      <c r="B13" s="39" t="n">
        <v>0.8868963177973532</v>
      </c>
      <c r="C13" s="35" t="n"/>
      <c r="D13" s="35" t="n"/>
      <c r="E13" s="35" t="n"/>
      <c r="F13" s="35" t="n"/>
      <c r="G13" s="35" t="n"/>
      <c r="H13" s="35" t="n"/>
      <c r="I13" s="35" t="n"/>
      <c r="J13" s="35" t="n"/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</row>
    <row r="15">
      <c r="A15" s="40" t="inlineStr">
        <is>
          <t>Important: Beta is calculated statistically from daily portfolio and benchmark returns. The original workbook column labelled Beta was a CAGR ratio and is not used for the corrected beta.</t>
        </is>
      </c>
    </row>
    <row r="16">
      <c r="A16" s="52" t="n"/>
      <c r="B16" s="52" t="n"/>
      <c r="C16" s="52" t="n"/>
      <c r="D16" s="52" t="n"/>
      <c r="E16" s="52" t="n"/>
      <c r="F16" s="52" t="n"/>
      <c r="G16" s="52" t="n"/>
      <c r="H16" s="52" t="n"/>
      <c r="I16" s="52" t="n"/>
      <c r="J16" s="52" t="n"/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>
      <c r="A18" s="35" t="n"/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>
      <c r="A19" s="41" t="inlineStr">
        <is>
          <t>Day</t>
        </is>
      </c>
      <c r="B19" s="41" t="inlineStr">
        <is>
          <t>Date</t>
        </is>
      </c>
      <c r="C19" s="41" t="inlineStr">
        <is>
          <t>Portfolio Return</t>
        </is>
      </c>
      <c r="D19" s="41" t="inlineStr">
        <is>
          <t>Nifty Return</t>
        </is>
      </c>
      <c r="E19" s="41" t="inlineStr">
        <is>
          <t>Portfolio Value (₹ Cr)</t>
        </is>
      </c>
      <c r="F19" s="41" t="inlineStr">
        <is>
          <t>Benchmark Value (Base 100)</t>
        </is>
      </c>
      <c r="G19" s="41" t="inlineStr">
        <is>
          <t>NAV</t>
        </is>
      </c>
      <c r="H19" s="41" t="inlineStr">
        <is>
          <t>Portfolio Cumulative Return</t>
        </is>
      </c>
      <c r="I19" s="41" t="inlineStr">
        <is>
          <t>Benchmark Cumulative Return</t>
        </is>
      </c>
      <c r="J19" s="41" t="inlineStr">
        <is>
          <t>Relative Return</t>
        </is>
      </c>
    </row>
    <row r="20">
      <c r="A20" s="35" t="n">
        <v>1</v>
      </c>
      <c r="B20" s="53" t="n">
        <v>46204</v>
      </c>
      <c r="C20" s="39" t="n">
        <v>0.0017</v>
      </c>
      <c r="D20" s="39" t="n">
        <v>-0.0034</v>
      </c>
      <c r="E20" s="43" t="n">
        <v>100.750986</v>
      </c>
      <c r="F20" s="43" t="n">
        <v>99.66000000000001</v>
      </c>
      <c r="G20" s="54" t="n">
        <v>10.017</v>
      </c>
      <c r="H20" s="39" t="n">
        <v>0.001700000000000035</v>
      </c>
      <c r="I20" s="39" t="n">
        <v>-0.003399999999999848</v>
      </c>
      <c r="J20" s="39" t="n">
        <v>0.00511739915713405</v>
      </c>
    </row>
    <row r="21">
      <c r="A21" s="35" t="n">
        <v>2</v>
      </c>
      <c r="B21" s="53">
        <f>1+D6</f>
        <v/>
      </c>
      <c r="C21" s="39" t="n">
        <v>-0.0057</v>
      </c>
      <c r="D21" s="39" t="n">
        <v>0.0059</v>
      </c>
      <c r="E21" s="43" t="n">
        <v>100.1767053798</v>
      </c>
      <c r="F21" s="43" t="n">
        <v>100.247994</v>
      </c>
      <c r="G21" s="54" t="n">
        <v>9.9599031</v>
      </c>
      <c r="H21" s="39" t="n">
        <v>-0.004009689999999955</v>
      </c>
      <c r="I21" s="39" t="n">
        <v>0.002479939999999958</v>
      </c>
      <c r="J21" s="39" t="n">
        <v>-0.006473575920132535</v>
      </c>
    </row>
    <row r="22">
      <c r="A22" s="35" t="n">
        <v>3</v>
      </c>
      <c r="B22" s="53">
        <f>1+D7</f>
        <v/>
      </c>
      <c r="C22" s="39" t="n">
        <v>0.008500000000000001</v>
      </c>
      <c r="D22" s="39" t="n">
        <v>0.0071</v>
      </c>
      <c r="E22" s="43" t="n">
        <v>101.0282073755283</v>
      </c>
      <c r="F22" s="43" t="n">
        <v>100.9597547574</v>
      </c>
      <c r="G22" s="54" t="n">
        <v>10.04456227635</v>
      </c>
      <c r="H22" s="39" t="n">
        <v>0.004456227634999976</v>
      </c>
      <c r="I22" s="39" t="n">
        <v>0.00959754757400022</v>
      </c>
      <c r="J22" s="39" t="n">
        <v>-0.005092444956264486</v>
      </c>
    </row>
    <row r="23">
      <c r="A23" s="35" t="n">
        <v>4</v>
      </c>
      <c r="B23" s="53">
        <f>1+D8</f>
        <v/>
      </c>
      <c r="C23" s="39" t="n">
        <v>0.008</v>
      </c>
      <c r="D23" s="39" t="n">
        <v>0.0039</v>
      </c>
      <c r="E23" s="43" t="n">
        <v>101.8364330345325</v>
      </c>
      <c r="F23" s="43" t="n">
        <v>101.3534978009539</v>
      </c>
      <c r="G23" s="54" t="n">
        <v>10.1249187745608</v>
      </c>
      <c r="H23" s="39" t="n">
        <v>0.01249187745608005</v>
      </c>
      <c r="I23" s="39" t="n">
        <v>0.01353497800953885</v>
      </c>
      <c r="J23" s="39" t="n">
        <v>-0.00102917074998965</v>
      </c>
    </row>
    <row r="24">
      <c r="A24" s="35" t="n">
        <v>5</v>
      </c>
      <c r="B24" s="53">
        <f>1+D9</f>
        <v/>
      </c>
      <c r="C24" s="39" t="n">
        <v>0.008</v>
      </c>
      <c r="D24" s="39" t="n">
        <v>0.0039</v>
      </c>
      <c r="E24" s="43" t="n">
        <v>102.6511244988088</v>
      </c>
      <c r="F24" s="43" t="n">
        <v>101.7487764423776</v>
      </c>
      <c r="G24" s="54" t="n">
        <v>10.20591812475729</v>
      </c>
      <c r="H24" s="39" t="n">
        <v>0.02059181247572872</v>
      </c>
      <c r="I24" s="39" t="n">
        <v>0.01748776442377586</v>
      </c>
      <c r="J24" s="39" t="n">
        <v>0.003050698161181975</v>
      </c>
    </row>
    <row r="25">
      <c r="A25" s="35" t="n">
        <v>6</v>
      </c>
      <c r="B25" s="53">
        <f>1+D10</f>
        <v/>
      </c>
      <c r="C25" s="39" t="n">
        <v>0.002</v>
      </c>
      <c r="D25" s="39" t="n">
        <v>0.0066</v>
      </c>
      <c r="E25" s="43" t="n">
        <v>102.8564267478064</v>
      </c>
      <c r="F25" s="43" t="n">
        <v>102.4203183668973</v>
      </c>
      <c r="G25" s="54" t="n">
        <v>10.2263299610068</v>
      </c>
      <c r="H25" s="39" t="n">
        <v>0.02263299610067993</v>
      </c>
      <c r="I25" s="39" t="n">
        <v>0.02420318366897267</v>
      </c>
      <c r="J25" s="39" t="n">
        <v>-0.001533082100631522</v>
      </c>
    </row>
    <row r="26">
      <c r="A26" s="35" t="n">
        <v>7</v>
      </c>
      <c r="B26" s="53">
        <f>1+D11</f>
        <v/>
      </c>
      <c r="C26" s="39" t="n">
        <v>-0.0008</v>
      </c>
      <c r="D26" s="39" t="n">
        <v>-0.0013</v>
      </c>
      <c r="E26" s="43" t="n">
        <v>102.7741416064082</v>
      </c>
      <c r="F26" s="43" t="n">
        <v>102.2871719530203</v>
      </c>
      <c r="G26" s="54" t="n">
        <v>10.218148897038</v>
      </c>
      <c r="H26" s="39" t="n">
        <v>0.02181488970379952</v>
      </c>
      <c r="I26" s="39" t="n">
        <v>0.02287171953020328</v>
      </c>
      <c r="J26" s="39" t="n">
        <v>-0.001033198793382595</v>
      </c>
    </row>
    <row r="27">
      <c r="A27" s="35" t="n">
        <v>8</v>
      </c>
      <c r="B27" s="53">
        <f>1+D12</f>
        <v/>
      </c>
      <c r="C27" s="39" t="n">
        <v>-0.017</v>
      </c>
      <c r="D27" s="39" t="n">
        <v>-0.0212</v>
      </c>
      <c r="E27" s="43" t="n">
        <v>101.0269811990992</v>
      </c>
      <c r="F27" s="43" t="n">
        <v>100.1186839076163</v>
      </c>
      <c r="G27" s="54" t="n">
        <v>10.04444036578835</v>
      </c>
      <c r="H27" s="39" t="n">
        <v>0.004444036578834965</v>
      </c>
      <c r="I27" s="39" t="n">
        <v>0.001186839076162904</v>
      </c>
      <c r="J27" s="39" t="n">
        <v>0.003253336316004329</v>
      </c>
    </row>
    <row r="28">
      <c r="A28" s="35" t="n">
        <v>9</v>
      </c>
      <c r="B28" s="53">
        <f>1+D13</f>
        <v/>
      </c>
      <c r="C28" s="39" t="n">
        <v>0.0075</v>
      </c>
      <c r="D28" s="39" t="n">
        <v>0.0034</v>
      </c>
      <c r="E28" s="43" t="n">
        <v>101.7846835580925</v>
      </c>
      <c r="F28" s="43" t="n">
        <v>100.4590874329022</v>
      </c>
      <c r="G28" s="54" t="n">
        <v>10.11977366853176</v>
      </c>
      <c r="H28" s="39" t="n">
        <v>0.01197736685317619</v>
      </c>
      <c r="I28" s="39" t="n">
        <v>0.004590874329021943</v>
      </c>
      <c r="J28" s="39" t="n">
        <v>0.007352737032463752</v>
      </c>
    </row>
    <row r="29">
      <c r="A29" s="35" t="n">
        <v>10</v>
      </c>
      <c r="B29" s="53">
        <f>1+D14</f>
        <v/>
      </c>
      <c r="C29" s="39" t="n">
        <v>0.0106</v>
      </c>
      <c r="D29" s="39" t="n">
        <v>0.0103</v>
      </c>
      <c r="E29" s="43" t="n">
        <v>102.8636012038082</v>
      </c>
      <c r="F29" s="43" t="n">
        <v>101.4938160334611</v>
      </c>
      <c r="G29" s="54" t="n">
        <v>10.2270432694182</v>
      </c>
      <c r="H29" s="39" t="n">
        <v>0.0227043269418199</v>
      </c>
      <c r="I29" s="39" t="n">
        <v>0.01493816033461082</v>
      </c>
      <c r="J29" s="39" t="n">
        <v>0.007651861867770116</v>
      </c>
    </row>
    <row r="30">
      <c r="A30" s="35" t="n"/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>
      <c r="A31" s="35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>
      <c r="A32" s="37" t="inlineStr">
        <is>
          <t>Portfolio Holdings Snapshot</t>
        </is>
      </c>
      <c r="B32" s="52" t="n"/>
      <c r="C32" s="52" t="n"/>
      <c r="D32" s="52" t="n"/>
      <c r="E32" s="52" t="n"/>
      <c r="F32" s="52" t="n"/>
      <c r="G32" s="35" t="n"/>
      <c r="H32" s="35" t="n"/>
      <c r="I32" s="35" t="n"/>
      <c r="J32" s="35" t="n"/>
    </row>
    <row r="33">
      <c r="A33" s="45" t="inlineStr">
        <is>
          <t>Stock</t>
        </is>
      </c>
      <c r="B33" s="45" t="inlineStr">
        <is>
          <t>Investment (₹ Cr)</t>
        </is>
      </c>
      <c r="C33" s="45" t="inlineStr">
        <is>
          <t>Weight</t>
        </is>
      </c>
      <c r="D33" s="45" t="inlineStr">
        <is>
          <t>Market Cap Category</t>
        </is>
      </c>
      <c r="E33" s="45" t="inlineStr">
        <is>
          <t>3Y CAGR</t>
        </is>
      </c>
      <c r="F33" s="45" t="inlineStr">
        <is>
          <t>Benchmark 3Y CAGR</t>
        </is>
      </c>
      <c r="G33" s="35" t="n"/>
      <c r="H33" s="35" t="n"/>
      <c r="I33" s="35" t="n"/>
      <c r="J33" s="35" t="n"/>
    </row>
    <row r="34">
      <c r="A34" s="35" t="inlineStr">
        <is>
          <t>Ambuja Cement</t>
        </is>
      </c>
      <c r="B34" s="43" t="n">
        <v>5</v>
      </c>
      <c r="C34" s="39">
        <f>J2/SUM($J$2:$J$22)</f>
        <v/>
      </c>
      <c r="D34" s="35" t="inlineStr">
        <is>
          <t>Mid</t>
        </is>
      </c>
      <c r="E34" s="39" t="n">
        <v>0.0425</v>
      </c>
      <c r="F34" s="39" t="n">
        <v>0.079</v>
      </c>
      <c r="G34" s="35" t="n"/>
      <c r="H34" s="35" t="n"/>
      <c r="I34" s="35" t="n"/>
      <c r="J34" s="35" t="n"/>
    </row>
    <row r="35">
      <c r="A35" s="35" t="inlineStr">
        <is>
          <t>Adani Power</t>
        </is>
      </c>
      <c r="B35" s="43" t="n">
        <v>5</v>
      </c>
      <c r="C35" s="39">
        <f>J3/SUM($J$2:$J$22)</f>
        <v/>
      </c>
      <c r="D35" s="35" t="inlineStr">
        <is>
          <t>Large</t>
        </is>
      </c>
      <c r="E35" s="39" t="n">
        <v>-0.034</v>
      </c>
      <c r="F35" s="39" t="n">
        <v>0.079</v>
      </c>
      <c r="G35" s="35" t="n"/>
      <c r="H35" s="35" t="n"/>
      <c r="I35" s="35" t="n"/>
      <c r="J35" s="35" t="n"/>
    </row>
    <row r="36">
      <c r="A36" s="35" t="inlineStr">
        <is>
          <t>Bajaj Finance</t>
        </is>
      </c>
      <c r="B36" s="43" t="n">
        <v>5</v>
      </c>
      <c r="C36" s="39">
        <f>J4/SUM($J$2:$J$22)</f>
        <v/>
      </c>
      <c r="D36" s="35" t="inlineStr">
        <is>
          <t>Large</t>
        </is>
      </c>
      <c r="E36" s="39" t="n">
        <v>0.1647</v>
      </c>
      <c r="F36" s="39" t="n">
        <v>0.079</v>
      </c>
      <c r="G36" s="35" t="n"/>
      <c r="H36" s="35" t="n"/>
      <c r="I36" s="35" t="n"/>
      <c r="J36" s="35" t="n"/>
    </row>
    <row r="37">
      <c r="A37" s="35" t="inlineStr">
        <is>
          <t>Bharat Electronics</t>
        </is>
      </c>
      <c r="B37" s="43" t="n">
        <v>0.74</v>
      </c>
      <c r="C37" s="39">
        <f>J5/SUM($J$2:$J$22)</f>
        <v/>
      </c>
      <c r="D37" s="35" t="inlineStr">
        <is>
          <t>Large</t>
        </is>
      </c>
      <c r="E37" s="39" t="n">
        <v>0.49</v>
      </c>
      <c r="F37" s="39" t="n">
        <v>0.079</v>
      </c>
      <c r="G37" s="35" t="n"/>
      <c r="H37" s="35" t="n"/>
      <c r="I37" s="35" t="n"/>
      <c r="J37" s="35" t="n"/>
    </row>
    <row r="38">
      <c r="A38" s="35" t="inlineStr">
        <is>
          <t>Coal India</t>
        </is>
      </c>
      <c r="B38" s="43" t="n">
        <v>7</v>
      </c>
      <c r="C38" s="39">
        <f>J6/SUM($J$2:$J$22)</f>
        <v/>
      </c>
      <c r="D38" s="35" t="inlineStr">
        <is>
          <t>Large</t>
        </is>
      </c>
      <c r="E38" s="39" t="n">
        <v>0.24</v>
      </c>
      <c r="F38" s="39" t="n">
        <v>0.079</v>
      </c>
      <c r="G38" s="35" t="n"/>
      <c r="H38" s="35" t="n"/>
      <c r="I38" s="35" t="n"/>
      <c r="J38" s="35" t="n"/>
    </row>
    <row r="39">
      <c r="A39" s="35" t="inlineStr">
        <is>
          <t>Finolex cables</t>
        </is>
      </c>
      <c r="B39" s="43" t="n">
        <v>4.4</v>
      </c>
      <c r="C39" s="39">
        <f>J7/SUM($J$2:$J$22)</f>
        <v/>
      </c>
      <c r="D39" s="35" t="inlineStr">
        <is>
          <t>Mid</t>
        </is>
      </c>
      <c r="E39" s="39" t="n">
        <v>0.1</v>
      </c>
      <c r="F39" s="39" t="n">
        <v>0.079</v>
      </c>
      <c r="G39" s="35" t="n"/>
      <c r="H39" s="35" t="n"/>
      <c r="I39" s="35" t="n"/>
      <c r="J39" s="35" t="n"/>
    </row>
    <row r="40">
      <c r="A40" s="35" t="inlineStr">
        <is>
          <t>HCL Tech</t>
        </is>
      </c>
      <c r="B40" s="43" t="n">
        <v>4.5</v>
      </c>
      <c r="C40" s="39">
        <f>J8/SUM($J$2:$J$22)</f>
        <v/>
      </c>
      <c r="D40" s="35" t="inlineStr">
        <is>
          <t>Large</t>
        </is>
      </c>
      <c r="E40" s="39" t="n">
        <v>-0.0109</v>
      </c>
      <c r="F40" s="39" t="n">
        <v>0.079</v>
      </c>
      <c r="G40" s="35" t="n"/>
      <c r="H40" s="35" t="n"/>
      <c r="I40" s="35" t="n"/>
      <c r="J40" s="35" t="n"/>
    </row>
    <row r="41">
      <c r="A41" s="35" t="inlineStr">
        <is>
          <t>HDFC Bank</t>
        </is>
      </c>
      <c r="B41" s="43" t="n">
        <v>6</v>
      </c>
      <c r="C41" s="39">
        <f>J9/SUM($J$2:$J$22)</f>
        <v/>
      </c>
      <c r="D41" s="35" t="inlineStr">
        <is>
          <t>Large</t>
        </is>
      </c>
      <c r="E41" s="39" t="n">
        <v>0.07580000000000001</v>
      </c>
      <c r="F41" s="39" t="n">
        <v>0.079</v>
      </c>
      <c r="G41" s="35" t="n"/>
      <c r="H41" s="35" t="n"/>
      <c r="I41" s="35" t="n"/>
      <c r="J41" s="35" t="n"/>
    </row>
    <row r="42">
      <c r="A42" s="35" t="inlineStr">
        <is>
          <t>Hind Zinc</t>
        </is>
      </c>
      <c r="B42" s="43" t="n">
        <v>1.3</v>
      </c>
      <c r="C42" s="39">
        <f>J10/SUM($J$2:$J$22)</f>
        <v/>
      </c>
      <c r="D42" s="35" t="inlineStr">
        <is>
          <t>Large</t>
        </is>
      </c>
      <c r="E42" s="39" t="n">
        <v>0.19</v>
      </c>
      <c r="F42" s="39" t="n">
        <v>0.079</v>
      </c>
      <c r="G42" s="35" t="n"/>
      <c r="H42" s="35" t="n"/>
      <c r="I42" s="35" t="n"/>
      <c r="J42" s="35" t="n"/>
    </row>
    <row r="43">
      <c r="A43" s="35" t="inlineStr">
        <is>
          <t>ITC</t>
        </is>
      </c>
      <c r="B43" s="43" t="n">
        <v>10</v>
      </c>
      <c r="C43" s="39">
        <f>J11/SUM($J$2:$J$22)</f>
        <v/>
      </c>
      <c r="D43" s="35" t="inlineStr">
        <is>
          <t>Large</t>
        </is>
      </c>
      <c r="E43" s="39" t="n">
        <v>0.1392</v>
      </c>
      <c r="F43" s="39" t="n">
        <v>0.079</v>
      </c>
      <c r="G43" s="35" t="n"/>
      <c r="H43" s="35" t="n"/>
      <c r="I43" s="35" t="n"/>
      <c r="J43" s="35" t="n"/>
    </row>
    <row r="44">
      <c r="A44" s="35" t="inlineStr">
        <is>
          <t>Jindal Stell</t>
        </is>
      </c>
      <c r="B44" s="43" t="n">
        <v>1</v>
      </c>
      <c r="C44" s="39">
        <f>J12/SUM($J$2:$J$22)</f>
        <v/>
      </c>
      <c r="D44" s="35" t="inlineStr">
        <is>
          <t>Mid</t>
        </is>
      </c>
      <c r="E44" s="39" t="n">
        <v>0.2552</v>
      </c>
      <c r="F44" s="39" t="n">
        <v>0.079</v>
      </c>
      <c r="G44" s="35" t="n"/>
      <c r="H44" s="35" t="n"/>
      <c r="I44" s="35" t="n"/>
      <c r="J44" s="35" t="n"/>
    </row>
    <row r="45">
      <c r="A45" s="35" t="inlineStr">
        <is>
          <t>REC Limited</t>
        </is>
      </c>
      <c r="B45" s="43" t="n">
        <v>2.7</v>
      </c>
      <c r="C45" s="39">
        <f>J13/SUM($J$2:$J$22)</f>
        <v/>
      </c>
      <c r="D45" s="35" t="inlineStr">
        <is>
          <t>Large</t>
        </is>
      </c>
      <c r="E45" s="39" t="n">
        <v>0.273</v>
      </c>
      <c r="F45" s="39" t="n">
        <v>0.079</v>
      </c>
      <c r="G45" s="35" t="n"/>
      <c r="H45" s="35" t="n"/>
      <c r="I45" s="35" t="n"/>
      <c r="J45" s="35" t="n"/>
    </row>
    <row r="46">
      <c r="A46" s="35" t="inlineStr">
        <is>
          <t>NTPC</t>
        </is>
      </c>
      <c r="B46" s="43" t="n">
        <v>0.84</v>
      </c>
      <c r="C46" s="39">
        <f>J14/SUM($J$2:$J$22)</f>
        <v/>
      </c>
      <c r="D46" s="35" t="inlineStr">
        <is>
          <t>Large</t>
        </is>
      </c>
      <c r="E46" s="39" t="n">
        <v>0.2564</v>
      </c>
      <c r="F46" s="39" t="n">
        <v>0.079</v>
      </c>
      <c r="G46" s="35" t="n"/>
      <c r="H46" s="35" t="n"/>
      <c r="I46" s="35" t="n"/>
      <c r="J46" s="35" t="n"/>
    </row>
    <row r="47">
      <c r="A47" s="35" t="inlineStr">
        <is>
          <t>Infosys</t>
        </is>
      </c>
      <c r="B47" s="43" t="n">
        <v>4</v>
      </c>
      <c r="C47" s="39">
        <f>J15/SUM($J$2:$J$22)</f>
        <v/>
      </c>
      <c r="D47" s="35" t="inlineStr">
        <is>
          <t>Large</t>
        </is>
      </c>
      <c r="E47" s="39" t="n">
        <v>-0.091</v>
      </c>
      <c r="F47" s="39" t="n">
        <v>0.079</v>
      </c>
      <c r="G47" s="35" t="n"/>
      <c r="H47" s="35" t="n"/>
      <c r="I47" s="35" t="n"/>
      <c r="J47" s="35" t="n"/>
    </row>
    <row r="48">
      <c r="A48" s="35" t="inlineStr">
        <is>
          <t>Vedanta</t>
        </is>
      </c>
      <c r="B48" s="43" t="n">
        <v>14.9</v>
      </c>
      <c r="C48" s="39">
        <f>J16/SUM($J$2:$J$22)</f>
        <v/>
      </c>
      <c r="D48" s="35" t="inlineStr">
        <is>
          <t>Large</t>
        </is>
      </c>
      <c r="E48" s="39" t="n">
        <v>0.0344</v>
      </c>
      <c r="F48" s="39" t="n">
        <v>0.079</v>
      </c>
      <c r="G48" s="35" t="n"/>
      <c r="H48" s="35" t="n"/>
      <c r="I48" s="35" t="n"/>
      <c r="J48" s="35" t="n"/>
    </row>
    <row r="49">
      <c r="A49" s="35" t="inlineStr">
        <is>
          <t>Sriram Finance</t>
        </is>
      </c>
      <c r="B49" s="43" t="n">
        <v>5</v>
      </c>
      <c r="C49" s="39">
        <f>J17/SUM($J$2:$J$22)</f>
        <v/>
      </c>
      <c r="D49" s="35" t="inlineStr">
        <is>
          <t>Large</t>
        </is>
      </c>
      <c r="E49" s="39" t="n">
        <v>0.4585</v>
      </c>
      <c r="F49" s="39" t="n">
        <v>0.079</v>
      </c>
      <c r="G49" s="35" t="n"/>
      <c r="H49" s="35" t="n"/>
      <c r="I49" s="35" t="n"/>
      <c r="J49" s="35" t="n"/>
    </row>
    <row r="50">
      <c r="A50" s="35" t="inlineStr">
        <is>
          <t>Solar Ind</t>
        </is>
      </c>
      <c r="B50" s="43" t="n">
        <v>8</v>
      </c>
      <c r="C50" s="39">
        <f>J18/SUM($J$2:$J$22)</f>
        <v/>
      </c>
      <c r="D50" s="35" t="inlineStr">
        <is>
          <t>Large</t>
        </is>
      </c>
      <c r="E50" s="39" t="n">
        <v>0.68</v>
      </c>
      <c r="F50" s="39" t="n">
        <v>0.079</v>
      </c>
      <c r="G50" s="35" t="n"/>
      <c r="H50" s="35" t="n"/>
      <c r="I50" s="35" t="n"/>
      <c r="J50" s="35" t="n"/>
    </row>
    <row r="51">
      <c r="A51" s="35" t="inlineStr">
        <is>
          <t>ONGC</t>
        </is>
      </c>
      <c r="B51" s="43" t="n">
        <v>4</v>
      </c>
      <c r="C51" s="39">
        <f>J19/SUM($J$2:$J$22)</f>
        <v/>
      </c>
      <c r="D51" s="35" t="inlineStr">
        <is>
          <t>Large</t>
        </is>
      </c>
      <c r="E51" s="39" t="n">
        <v>0.0073</v>
      </c>
      <c r="F51" s="39" t="n">
        <v>0.079</v>
      </c>
      <c r="G51" s="35" t="n"/>
      <c r="H51" s="35" t="n"/>
      <c r="I51" s="35" t="n"/>
      <c r="J51" s="35" t="n"/>
    </row>
    <row r="52">
      <c r="A52" s="35" t="inlineStr">
        <is>
          <t>TCS</t>
        </is>
      </c>
      <c r="B52" s="43" t="n">
        <v>4</v>
      </c>
      <c r="C52" s="39">
        <f>J20/SUM($J$2:$J$22)</f>
        <v/>
      </c>
      <c r="D52" s="35" t="inlineStr">
        <is>
          <t>Large</t>
        </is>
      </c>
      <c r="E52" s="39" t="n">
        <v>0.0202</v>
      </c>
      <c r="F52" s="39" t="n">
        <v>0.079</v>
      </c>
      <c r="G52" s="35" t="n"/>
      <c r="H52" s="35" t="n"/>
      <c r="I52" s="35" t="n"/>
      <c r="J52" s="35" t="n"/>
    </row>
    <row r="53">
      <c r="A53" s="35" t="inlineStr">
        <is>
          <t>Aarti Industries</t>
        </is>
      </c>
      <c r="B53" s="43" t="n">
        <v>0.2</v>
      </c>
      <c r="C53" s="39">
        <f>J21/SUM($J$2:$J$22)</f>
        <v/>
      </c>
      <c r="D53" s="35" t="inlineStr">
        <is>
          <t>Small</t>
        </is>
      </c>
      <c r="E53" s="39" t="n">
        <v>-0.0081</v>
      </c>
      <c r="F53" s="39" t="n">
        <v>0.08</v>
      </c>
      <c r="G53" s="35" t="n"/>
      <c r="H53" s="35" t="n"/>
      <c r="I53" s="35" t="n"/>
      <c r="J53" s="35" t="n"/>
    </row>
    <row r="54">
      <c r="A54" s="35" t="inlineStr">
        <is>
          <t>Torrent Pharama</t>
        </is>
      </c>
      <c r="B54" s="43" t="n">
        <v>7</v>
      </c>
      <c r="C54" s="39">
        <f>J22/SUM($J$2:$J$22)</f>
        <v/>
      </c>
      <c r="D54" s="35" t="inlineStr">
        <is>
          <t>Large</t>
        </is>
      </c>
      <c r="E54" s="39" t="n">
        <v>0.5819</v>
      </c>
      <c r="F54" s="39" t="n">
        <v>0.079</v>
      </c>
      <c r="G54" s="35" t="n"/>
      <c r="H54" s="35" t="n"/>
      <c r="I54" s="35" t="n"/>
      <c r="J54" s="35" t="n"/>
    </row>
  </sheetData>
  <mergeCells count="5">
    <mergeCell ref="A1:J1"/>
    <mergeCell ref="A4:D4"/>
    <mergeCell ref="A32:F32"/>
    <mergeCell ref="A15:J16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58" customWidth="1" min="3" max="3"/>
    <col width="16" customWidth="1" min="4" max="4"/>
  </cols>
  <sheetData>
    <row r="1">
      <c r="A1" s="46" t="inlineStr">
        <is>
          <t>Model Checks &amp; Audit</t>
        </is>
      </c>
    </row>
    <row r="3">
      <c r="A3" s="47" t="inlineStr">
        <is>
          <t>Check</t>
        </is>
      </c>
      <c r="B3" s="47" t="inlineStr">
        <is>
          <t>Result</t>
        </is>
      </c>
      <c r="C3" s="47" t="inlineStr">
        <is>
          <t>Interpretation</t>
        </is>
      </c>
      <c r="D3" s="47" t="inlineStr">
        <is>
          <t>Status</t>
        </is>
      </c>
    </row>
    <row r="4">
      <c r="A4" t="inlineStr">
        <is>
          <t>Original portfolio invested amount (₹ Cr)</t>
        </is>
      </c>
      <c r="B4" t="n">
        <v>100.58</v>
      </c>
      <c r="C4" t="inlineStr">
        <is>
          <t>Source holdings total</t>
        </is>
      </c>
      <c r="D4" s="48" t="inlineStr">
        <is>
          <t>PASS</t>
        </is>
      </c>
    </row>
    <row r="5">
      <c r="A5" t="inlineStr">
        <is>
          <t>Portfolio weight sum</t>
        </is>
      </c>
      <c r="B5" s="55" t="n">
        <v>1</v>
      </c>
      <c r="C5" t="inlineStr">
        <is>
          <t>Should equal 100%</t>
        </is>
      </c>
      <c r="D5" s="49" t="inlineStr">
        <is>
          <t>PASS</t>
        </is>
      </c>
    </row>
    <row r="6">
      <c r="A6" t="inlineStr">
        <is>
          <t>Original workbook beta methodology</t>
        </is>
      </c>
      <c r="B6" t="inlineStr">
        <is>
          <t>CAGR / benchmark CAGR</t>
        </is>
      </c>
      <c r="C6" t="inlineStr">
        <is>
          <t>Not statistical beta</t>
        </is>
      </c>
      <c r="D6" s="49" t="inlineStr">
        <is>
          <t>REVISE</t>
        </is>
      </c>
    </row>
    <row r="7">
      <c r="A7" t="inlineStr">
        <is>
          <t>Corrected beta</t>
        </is>
      </c>
      <c r="B7" t="n">
        <v>0.7788609170951767</v>
      </c>
      <c r="C7" t="inlineStr">
        <is>
          <t>Covariance / benchmark variance</t>
        </is>
      </c>
      <c r="D7" s="48" t="inlineStr">
        <is>
          <t>PASS</t>
        </is>
      </c>
    </row>
    <row r="8">
      <c r="A8" t="inlineStr">
        <is>
          <t>Daily observations available</t>
        </is>
      </c>
      <c r="B8" s="55" t="n">
        <v>10</v>
      </c>
      <c r="C8" t="inlineStr">
        <is>
          <t>Too short for long-term risk inference</t>
        </is>
      </c>
      <c r="D8" s="50" t="inlineStr">
        <is>
          <t>LIMITATION</t>
        </is>
      </c>
    </row>
    <row r="9">
      <c r="A9" t="inlineStr">
        <is>
          <t>Portfolio cumulative return</t>
        </is>
      </c>
      <c r="B9" s="55" t="n">
        <v>0.0227043269418199</v>
      </c>
      <c r="C9" t="inlineStr">
        <is>
          <t>10-observation period</t>
        </is>
      </c>
      <c r="D9" s="48" t="inlineStr">
        <is>
          <t>PASS</t>
        </is>
      </c>
    </row>
    <row r="10">
      <c r="A10" t="inlineStr">
        <is>
          <t>Benchmark cumulative return</t>
        </is>
      </c>
      <c r="B10" s="55" t="n">
        <v>0.01493816033461082</v>
      </c>
      <c r="C10" t="inlineStr">
        <is>
          <t>10-observation period</t>
        </is>
      </c>
      <c r="D10" s="48" t="inlineStr">
        <is>
          <t>PASS</t>
        </is>
      </c>
    </row>
    <row r="11">
      <c r="A11" t="inlineStr">
        <is>
          <t>Relative performance</t>
        </is>
      </c>
      <c r="B11" t="n">
        <v>0.00776616660720908</v>
      </c>
      <c r="C11" t="inlineStr">
        <is>
          <t>Portfolio cumulative minus benchmark cumulative</t>
        </is>
      </c>
      <c r="D11" s="48" t="inlineStr">
        <is>
          <t>PASS</t>
        </is>
      </c>
    </row>
    <row r="12">
      <c r="A12" t="inlineStr">
        <is>
          <t>Original starting fund value (₹ Cr)</t>
        </is>
      </c>
      <c r="B12" t="n">
        <v>100</v>
      </c>
      <c r="C12" t="inlineStr">
        <is>
          <t>Does not match ₹100.58 Cr invested</t>
        </is>
      </c>
      <c r="D12" s="49" t="inlineStr">
        <is>
          <t>REVISE</t>
        </is>
      </c>
    </row>
    <row r="13">
      <c r="A13" t="inlineStr">
        <is>
          <t>Corrected starting fund value (₹ Cr)</t>
        </is>
      </c>
      <c r="B13" t="n">
        <v>100.58</v>
      </c>
      <c r="C13" t="inlineStr">
        <is>
          <t>Uses actual holdings total</t>
        </is>
      </c>
      <c r="D13" s="48" t="inlineStr">
        <is>
          <t>PASS</t>
        </is>
      </c>
    </row>
    <row r="16">
      <c r="A16" s="47" t="inlineStr">
        <is>
          <t>Audit conclusion</t>
        </is>
      </c>
    </row>
    <row r="17">
      <c r="A17" s="51" t="inlineStr">
        <is>
          <t>The corrected analysis uses the actual ₹100.58 Cr portfolio capital, normalizes the benchmark to 100, compounds the supplied daily returns, and calculates beta statistically from the available daily return sample. The 10-day sample demonstrates the methodology but should not be presented as a robust long-term performance or risk record.</t>
        </is>
      </c>
    </row>
    <row r="18"/>
    <row r="19"/>
  </sheetData>
  <mergeCells count="3">
    <mergeCell ref="A1:D1"/>
    <mergeCell ref="A16:D16"/>
    <mergeCell ref="A17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1"/>
  <sheetViews>
    <sheetView workbookViewId="0">
      <selection activeCell="A1" sqref="A1"/>
    </sheetView>
  </sheetViews>
  <sheetFormatPr baseColWidth="8" defaultColWidth="12.6640625" defaultRowHeight="15.75" customHeight="1"/>
  <cols>
    <col width="28.1328125" customWidth="1" min="1" max="1"/>
    <col width="55.796875" customWidth="1" min="2" max="2"/>
  </cols>
  <sheetData>
    <row r="1" ht="12.75" customHeight="1">
      <c r="A1" s="1" t="inlineStr">
        <is>
          <t>BSE top 500 Listed Companies Data</t>
        </is>
      </c>
      <c r="E1" t="inlineStr">
        <is>
          <t>ggggggggggggggggggggggg</t>
        </is>
      </c>
    </row>
    <row r="2" ht="12.75" customHeight="1">
      <c r="A2" s="2" t="inlineStr">
        <is>
          <t>Daily valuation can be recorded at night too</t>
        </is>
      </c>
    </row>
    <row r="3" ht="12.75" customHeight="1">
      <c r="A3" s="2" t="inlineStr">
        <is>
          <t>Need to change holdings at least once a week and record in the new sheet</t>
        </is>
      </c>
    </row>
    <row r="4" ht="12.75" customHeight="1">
      <c r="A4" s="2" t="inlineStr">
        <is>
          <t>Shares are your choice</t>
        </is>
      </c>
    </row>
    <row r="5" ht="12.75" customHeight="1">
      <c r="A5" s="2" t="inlineStr">
        <is>
          <t xml:space="preserve">Analyse shares </t>
        </is>
      </c>
      <c r="B5" s="3" t="inlineStr">
        <is>
          <t>Stock Screener and fundamental analysis tool for Indian stocks - Screener</t>
        </is>
      </c>
    </row>
    <row r="10" ht="12.75" customHeight="1">
      <c r="A10" s="4" t="inlineStr">
        <is>
          <t>Change/ Edit only blue cells</t>
        </is>
      </c>
    </row>
    <row r="11" ht="15.75" customHeight="1">
      <c r="A11" t="inlineStr">
        <is>
          <t>White cells are derived from formula so please do not edit them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5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1001"/>
  <sheetViews>
    <sheetView zoomScale="69" zoomScaleNormal="96" workbookViewId="0">
      <selection activeCell="H26" sqref="H26"/>
    </sheetView>
  </sheetViews>
  <sheetFormatPr baseColWidth="8" defaultColWidth="12.6640625" defaultRowHeight="15.75" customHeight="1"/>
  <cols>
    <col width="19.86328125" customWidth="1" min="1" max="2"/>
    <col width="16.19921875" customWidth="1" min="3" max="3"/>
    <col width="17.796875" customWidth="1" min="4" max="4"/>
    <col width="19.86328125" customWidth="1" min="5" max="6"/>
    <col width="13.33203125" customWidth="1" min="7" max="7"/>
    <col width="11.6640625" customWidth="1" min="8" max="8"/>
    <col width="17.6640625" customWidth="1" min="9" max="9"/>
    <col width="19.86328125" customWidth="1" min="10" max="27"/>
  </cols>
  <sheetData>
    <row r="1" ht="15.75" customHeight="1">
      <c r="A1" s="9" t="inlineStr">
        <is>
          <t>Sl. No.</t>
        </is>
      </c>
      <c r="B1" s="9" t="inlineStr">
        <is>
          <t>Stock/ Fund name Name</t>
        </is>
      </c>
      <c r="C1" s="9" t="inlineStr">
        <is>
          <t>mcap (Lakh Cr)</t>
        </is>
      </c>
      <c r="D1" s="9" t="inlineStr">
        <is>
          <t>mcap_ranking</t>
        </is>
      </c>
      <c r="E1" s="9" t="inlineStr">
        <is>
          <t>Large/ Mid/ Small Categirization</t>
        </is>
      </c>
      <c r="F1" s="9" t="inlineStr">
        <is>
          <t>Bench mark index</t>
        </is>
      </c>
      <c r="G1" s="28" t="inlineStr">
        <is>
          <t>Stock 3 year CAGR growth</t>
        </is>
      </c>
      <c r="H1" s="29" t="inlineStr">
        <is>
          <t>Benchmark 3 year CAGR growth</t>
        </is>
      </c>
      <c r="I1" s="10" t="inlineStr">
        <is>
          <t>Beta [3 years]</t>
        </is>
      </c>
      <c r="J1" s="9" t="inlineStr">
        <is>
          <t>Amount Invested (Cr)</t>
        </is>
      </c>
      <c r="K1" s="10" t="inlineStr">
        <is>
          <t>Weight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</row>
    <row r="2" ht="15.75" customHeight="1">
      <c r="A2" s="11" t="n">
        <v>1</v>
      </c>
      <c r="B2" s="27" t="inlineStr">
        <is>
          <t>Ambuja Cement</t>
        </is>
      </c>
      <c r="C2" s="32" t="n">
        <v>1.05</v>
      </c>
      <c r="D2" s="12" t="n">
        <v>111</v>
      </c>
      <c r="E2" s="27" t="inlineStr">
        <is>
          <t>Mid</t>
        </is>
      </c>
      <c r="F2" s="11" t="inlineStr">
        <is>
          <t>Nifty 50</t>
        </is>
      </c>
      <c r="G2" s="19" t="n">
        <v>0.0425</v>
      </c>
      <c r="H2" s="19" t="n">
        <v>0.079</v>
      </c>
      <c r="I2" s="11">
        <f>G2/H2</f>
        <v/>
      </c>
      <c r="J2" s="12" t="n">
        <v>5</v>
      </c>
      <c r="K2" s="13">
        <f>J2/SUM($J$2:$J$22)</f>
        <v/>
      </c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</row>
    <row r="3" ht="15.75" customHeight="1">
      <c r="A3" s="11" t="inlineStr">
        <is>
          <t>2*</t>
        </is>
      </c>
      <c r="B3" s="12" t="inlineStr">
        <is>
          <t>Adani Power</t>
        </is>
      </c>
      <c r="C3" s="33" t="n">
        <v>4.3</v>
      </c>
      <c r="D3" s="12" t="n">
        <v>15</v>
      </c>
      <c r="E3" s="12" t="inlineStr">
        <is>
          <t>Large</t>
        </is>
      </c>
      <c r="F3" s="11" t="inlineStr">
        <is>
          <t>Nifty 50</t>
        </is>
      </c>
      <c r="G3" s="19" t="n">
        <v>-0.034</v>
      </c>
      <c r="H3" s="19" t="n">
        <v>0.079</v>
      </c>
      <c r="I3" s="11">
        <f>G3/H3</f>
        <v/>
      </c>
      <c r="J3" s="12" t="n">
        <v>5</v>
      </c>
      <c r="K3" s="13">
        <f>J3/SUM($J$2:$J$22)</f>
        <v/>
      </c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</row>
    <row r="4" ht="15.75" customHeight="1">
      <c r="A4" s="11" t="n">
        <v>3</v>
      </c>
      <c r="B4" s="12" t="inlineStr">
        <is>
          <t>Bajaj Finance</t>
        </is>
      </c>
      <c r="C4" s="12" t="n">
        <v>5.8</v>
      </c>
      <c r="D4" s="12" t="n">
        <v>7</v>
      </c>
      <c r="E4" s="12" t="inlineStr">
        <is>
          <t>Large</t>
        </is>
      </c>
      <c r="F4" s="11" t="inlineStr">
        <is>
          <t>Nifty 50</t>
        </is>
      </c>
      <c r="G4" s="19" t="n">
        <v>0.1647</v>
      </c>
      <c r="H4" s="19" t="n">
        <v>0.079</v>
      </c>
      <c r="I4" s="11">
        <f>G4/H4</f>
        <v/>
      </c>
      <c r="J4" s="12" t="n">
        <v>5</v>
      </c>
      <c r="K4" s="13">
        <f>J4/SUM($J$2:$J$22)</f>
        <v/>
      </c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</row>
    <row r="5" ht="15.75" customHeight="1">
      <c r="A5" s="11" t="n">
        <v>4</v>
      </c>
      <c r="B5" s="12" t="inlineStr">
        <is>
          <t>Bharat Electronics</t>
        </is>
      </c>
      <c r="C5" s="12" t="n">
        <v>2.99</v>
      </c>
      <c r="D5" s="12" t="n">
        <v>24</v>
      </c>
      <c r="E5" s="12" t="inlineStr">
        <is>
          <t>Large</t>
        </is>
      </c>
      <c r="F5" s="11" t="inlineStr">
        <is>
          <t>Nifty 50</t>
        </is>
      </c>
      <c r="G5" s="19" t="n">
        <v>0.49</v>
      </c>
      <c r="H5" s="19" t="n">
        <v>0.079</v>
      </c>
      <c r="I5" s="11">
        <f>G5/H5</f>
        <v/>
      </c>
      <c r="J5" s="12" t="n">
        <v>0.74</v>
      </c>
      <c r="K5" s="13">
        <f>J5/SUM($J$2:$J$22)</f>
        <v/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</row>
    <row r="6" ht="15.75" customHeight="1">
      <c r="A6" s="11" t="n">
        <v>5</v>
      </c>
      <c r="B6" s="12" t="inlineStr">
        <is>
          <t>Coal India</t>
        </is>
      </c>
      <c r="C6" s="12" t="n">
        <v>2.5</v>
      </c>
      <c r="D6" s="12" t="n">
        <v>33</v>
      </c>
      <c r="E6" s="12" t="inlineStr">
        <is>
          <t>Large</t>
        </is>
      </c>
      <c r="F6" s="11" t="inlineStr">
        <is>
          <t>Nifty 50</t>
        </is>
      </c>
      <c r="G6" s="19" t="n">
        <v>0.24</v>
      </c>
      <c r="H6" s="19" t="n">
        <v>0.079</v>
      </c>
      <c r="I6" s="11">
        <f>G6/H6</f>
        <v/>
      </c>
      <c r="J6" s="12" t="n">
        <v>7</v>
      </c>
      <c r="K6" s="13">
        <f>J6/SUM($J$2:$J$22)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</row>
    <row r="7" ht="15.75" customHeight="1">
      <c r="A7" s="11" t="n">
        <v>6</v>
      </c>
      <c r="B7" s="12" t="inlineStr">
        <is>
          <t>Finolex cables</t>
        </is>
      </c>
      <c r="C7" s="12" t="n">
        <v>0.17</v>
      </c>
      <c r="D7" s="12" t="n">
        <v>174</v>
      </c>
      <c r="E7" s="12" t="inlineStr">
        <is>
          <t>Mid</t>
        </is>
      </c>
      <c r="F7" s="11" t="inlineStr">
        <is>
          <t>Nifty 50</t>
        </is>
      </c>
      <c r="G7" s="19" t="n">
        <v>0.1</v>
      </c>
      <c r="H7" s="19" t="n">
        <v>0.079</v>
      </c>
      <c r="I7" s="11">
        <f>G7/H7</f>
        <v/>
      </c>
      <c r="J7" s="12" t="n">
        <v>4.4</v>
      </c>
      <c r="K7" s="13">
        <f>J7/SUM($J$2:$J$22)</f>
        <v/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</row>
    <row r="8" ht="15.75" customHeight="1">
      <c r="A8" s="11" t="n">
        <v>7</v>
      </c>
      <c r="B8" s="12" t="inlineStr">
        <is>
          <t>HCL Tech</t>
        </is>
      </c>
      <c r="C8" s="12" t="n">
        <v>4.3</v>
      </c>
      <c r="D8" s="12" t="n">
        <v>28</v>
      </c>
      <c r="E8" s="12" t="inlineStr">
        <is>
          <t>Large</t>
        </is>
      </c>
      <c r="F8" s="11" t="inlineStr">
        <is>
          <t>Nifty 50</t>
        </is>
      </c>
      <c r="G8" s="31" t="n">
        <v>-0.0109</v>
      </c>
      <c r="H8" s="19" t="n">
        <v>0.079</v>
      </c>
      <c r="I8" s="11">
        <f>G8/H8</f>
        <v/>
      </c>
      <c r="J8" s="12" t="n">
        <v>4.5</v>
      </c>
      <c r="K8" s="13">
        <f>J8/SUM($J$2:$J$22)</f>
        <v/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</row>
    <row r="9" ht="15.75" customHeight="1">
      <c r="A9" s="11" t="n">
        <v>8</v>
      </c>
      <c r="B9" s="12" t="inlineStr">
        <is>
          <t>HDFC Bank</t>
        </is>
      </c>
      <c r="C9" s="12" t="n">
        <v>15.5</v>
      </c>
      <c r="D9" s="12" t="n">
        <v>2</v>
      </c>
      <c r="E9" s="12" t="inlineStr">
        <is>
          <t>Large</t>
        </is>
      </c>
      <c r="F9" s="11" t="inlineStr">
        <is>
          <t>Nifty 50</t>
        </is>
      </c>
      <c r="G9" s="31" t="n">
        <v>0.07580000000000001</v>
      </c>
      <c r="H9" s="19" t="n">
        <v>0.079</v>
      </c>
      <c r="I9" s="11">
        <f>G9/H9</f>
        <v/>
      </c>
      <c r="J9" s="12" t="n">
        <v>6</v>
      </c>
      <c r="K9" s="13">
        <f>J9/SUM($J$2:$J$22)</f>
        <v/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</row>
    <row r="10" ht="15.75" customHeight="1">
      <c r="A10" s="11" t="n">
        <v>9</v>
      </c>
      <c r="B10" s="12" t="inlineStr">
        <is>
          <t>Hind Zinc</t>
        </is>
      </c>
      <c r="C10" s="12" t="n">
        <v>1.8</v>
      </c>
      <c r="D10" s="12" t="n">
        <v>40</v>
      </c>
      <c r="E10" s="12" t="inlineStr">
        <is>
          <t>Large</t>
        </is>
      </c>
      <c r="F10" s="11" t="inlineStr">
        <is>
          <t>Nifty 50</t>
        </is>
      </c>
      <c r="G10" s="19" t="n">
        <v>0.19</v>
      </c>
      <c r="H10" s="19" t="n">
        <v>0.079</v>
      </c>
      <c r="I10" s="11">
        <f>G10/H10</f>
        <v/>
      </c>
      <c r="J10" s="27" t="n">
        <v>1.3</v>
      </c>
      <c r="K10" s="13">
        <f>J10/SUM($J$2:$J$22)</f>
        <v/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</row>
    <row r="11" ht="15.75" customHeight="1">
      <c r="A11" s="11" t="n">
        <v>10</v>
      </c>
      <c r="B11" s="12" t="inlineStr">
        <is>
          <t>ITC</t>
        </is>
      </c>
      <c r="C11" s="12" t="n">
        <v>5.5</v>
      </c>
      <c r="D11" s="12" t="n">
        <v>20</v>
      </c>
      <c r="E11" s="12" t="inlineStr">
        <is>
          <t>Large</t>
        </is>
      </c>
      <c r="F11" s="11" t="inlineStr">
        <is>
          <t>Nifty 50</t>
        </is>
      </c>
      <c r="G11" s="31" t="n">
        <v>0.1392</v>
      </c>
      <c r="H11" s="19" t="n">
        <v>0.079</v>
      </c>
      <c r="I11" s="11">
        <f>G11/H11</f>
        <v/>
      </c>
      <c r="J11" s="12" t="n">
        <v>10</v>
      </c>
      <c r="K11" s="13">
        <f>J11/SUM($J$2:$J$22)</f>
        <v/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</row>
    <row r="12" ht="15.75" customHeight="1">
      <c r="A12" s="11" t="n">
        <v>11</v>
      </c>
      <c r="B12" s="12" t="inlineStr">
        <is>
          <t>Jindal Stell</t>
        </is>
      </c>
      <c r="C12" s="12" t="n">
        <v>0.92</v>
      </c>
      <c r="D12" s="12" t="n">
        <v>104</v>
      </c>
      <c r="E12" s="27" t="inlineStr">
        <is>
          <t>Mid</t>
        </is>
      </c>
      <c r="F12" s="11" t="inlineStr">
        <is>
          <t>Nifty 50</t>
        </is>
      </c>
      <c r="G12" s="31" t="n">
        <v>0.2552</v>
      </c>
      <c r="H12" s="19" t="n">
        <v>0.079</v>
      </c>
      <c r="I12" s="11">
        <f>G12/H12</f>
        <v/>
      </c>
      <c r="J12" s="12" t="n">
        <v>1</v>
      </c>
      <c r="K12" s="13">
        <f>J12/SUM($J$2:$J$22)</f>
        <v/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</row>
    <row r="13" ht="15.75" customHeight="1">
      <c r="A13" s="11" t="n">
        <v>12</v>
      </c>
      <c r="B13" s="12" t="inlineStr">
        <is>
          <t>REC Limited</t>
        </is>
      </c>
      <c r="C13" s="12" t="n">
        <v>1.11</v>
      </c>
      <c r="D13" s="12" t="n">
        <v>120</v>
      </c>
      <c r="E13" s="12" t="inlineStr">
        <is>
          <t>Large</t>
        </is>
      </c>
      <c r="F13" s="11" t="inlineStr">
        <is>
          <t>Nifty 50</t>
        </is>
      </c>
      <c r="G13" s="31" t="n">
        <v>0.273</v>
      </c>
      <c r="H13" s="19" t="n">
        <v>0.079</v>
      </c>
      <c r="I13" s="11">
        <f>G13/H13</f>
        <v/>
      </c>
      <c r="J13" s="12" t="n">
        <v>2.7</v>
      </c>
      <c r="K13" s="13">
        <f>J13/SUM($J$2:$J$22)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</row>
    <row r="14" ht="15.75" customHeight="1">
      <c r="A14" s="11" t="n">
        <v>13</v>
      </c>
      <c r="B14" s="12" t="inlineStr">
        <is>
          <t>NTPC</t>
        </is>
      </c>
      <c r="C14" s="12" t="n">
        <v>3.4</v>
      </c>
      <c r="D14" s="12" t="n">
        <v>22</v>
      </c>
      <c r="E14" s="12" t="inlineStr">
        <is>
          <t>Large</t>
        </is>
      </c>
      <c r="F14" s="11" t="inlineStr">
        <is>
          <t>Nifty 50</t>
        </is>
      </c>
      <c r="G14" s="31" t="n">
        <v>0.2564</v>
      </c>
      <c r="H14" s="19" t="n">
        <v>0.079</v>
      </c>
      <c r="I14" s="11">
        <f>G14/H14</f>
        <v/>
      </c>
      <c r="J14" s="12" t="n">
        <v>0.84</v>
      </c>
      <c r="K14" s="13">
        <f>J14/SUM($J$2:$J$22)</f>
        <v/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</row>
    <row r="15" ht="15.75" customHeight="1">
      <c r="A15" s="11" t="n">
        <v>14</v>
      </c>
      <c r="B15" s="12" t="inlineStr">
        <is>
          <t>Infosys</t>
        </is>
      </c>
      <c r="C15" s="12" t="n">
        <v>4.3</v>
      </c>
      <c r="D15" s="12" t="n">
        <v>14</v>
      </c>
      <c r="E15" s="12" t="inlineStr">
        <is>
          <t>Large</t>
        </is>
      </c>
      <c r="F15" s="11" t="inlineStr">
        <is>
          <t>Nifty 50</t>
        </is>
      </c>
      <c r="G15" s="31" t="n">
        <v>-0.091</v>
      </c>
      <c r="H15" s="19" t="n">
        <v>0.079</v>
      </c>
      <c r="I15" s="11">
        <f>G15/H15</f>
        <v/>
      </c>
      <c r="J15" s="12" t="n">
        <v>4</v>
      </c>
      <c r="K15" s="13">
        <f>J15/SUM($J$2:$J$22)</f>
        <v/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</row>
    <row r="16" ht="15.75" customHeight="1">
      <c r="A16" s="11" t="n">
        <v>15</v>
      </c>
      <c r="B16" s="12" t="inlineStr">
        <is>
          <t>Vedanta</t>
        </is>
      </c>
      <c r="C16" s="12" t="n">
        <v>1.8</v>
      </c>
      <c r="D16" s="12" t="n">
        <v>100</v>
      </c>
      <c r="E16" s="12" t="inlineStr">
        <is>
          <t>Large</t>
        </is>
      </c>
      <c r="F16" s="11" t="inlineStr">
        <is>
          <t>Nifty 50</t>
        </is>
      </c>
      <c r="G16" s="31" t="n">
        <v>0.0344</v>
      </c>
      <c r="H16" s="19" t="n">
        <v>0.079</v>
      </c>
      <c r="I16" s="11">
        <f>G16/H16</f>
        <v/>
      </c>
      <c r="J16" s="12" t="n">
        <v>14.9</v>
      </c>
      <c r="K16" s="13">
        <f>J16/SUM($J$2:$J$22)</f>
        <v/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</row>
    <row r="17" ht="15.75" customHeight="1">
      <c r="A17" s="11" t="n">
        <v>16</v>
      </c>
      <c r="B17" s="12" t="inlineStr">
        <is>
          <t>Sriram Finance</t>
        </is>
      </c>
      <c r="C17" s="12" t="n">
        <v>1.17</v>
      </c>
      <c r="D17" s="12" t="n">
        <v>38</v>
      </c>
      <c r="E17" s="12" t="inlineStr">
        <is>
          <t>Large</t>
        </is>
      </c>
      <c r="F17" s="11" t="inlineStr">
        <is>
          <t>Nifty 50</t>
        </is>
      </c>
      <c r="G17" s="31" t="n">
        <v>0.4585</v>
      </c>
      <c r="H17" s="19" t="n">
        <v>0.079</v>
      </c>
      <c r="I17" s="11">
        <f>G17/H17</f>
        <v/>
      </c>
      <c r="J17" s="12" t="n">
        <v>5</v>
      </c>
      <c r="K17" s="13">
        <f>J17/SUM($J$2:$J$22)</f>
        <v/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</row>
    <row r="18" ht="15.75" customHeight="1">
      <c r="A18" s="11" t="n">
        <v>17</v>
      </c>
      <c r="B18" s="27" t="inlineStr">
        <is>
          <t>Solar Ind</t>
        </is>
      </c>
      <c r="C18" s="27" t="inlineStr">
        <is>
          <t>1,69</t>
        </is>
      </c>
      <c r="D18" s="12" t="n">
        <v>64</v>
      </c>
      <c r="E18" s="12" t="inlineStr">
        <is>
          <t>Large</t>
        </is>
      </c>
      <c r="F18" s="11" t="inlineStr">
        <is>
          <t>Nifty 50</t>
        </is>
      </c>
      <c r="G18" s="31" t="n">
        <v>0.68</v>
      </c>
      <c r="H18" s="19" t="n">
        <v>0.079</v>
      </c>
      <c r="I18" s="11">
        <f>G18/H18</f>
        <v/>
      </c>
      <c r="J18" s="12" t="n">
        <v>8</v>
      </c>
      <c r="K18" s="13">
        <f>J18/SUM($J$2:$J$22)</f>
        <v/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</row>
    <row r="19" ht="15.75" customHeight="1">
      <c r="A19" s="11" t="n">
        <v>18</v>
      </c>
      <c r="B19" s="12" t="inlineStr">
        <is>
          <t>ONGC</t>
        </is>
      </c>
      <c r="C19" s="12" t="n">
        <v>3.2</v>
      </c>
      <c r="D19" s="12" t="n">
        <v>26</v>
      </c>
      <c r="E19" s="12" t="inlineStr">
        <is>
          <t>Large</t>
        </is>
      </c>
      <c r="F19" s="11" t="inlineStr">
        <is>
          <t>Nifty 50</t>
        </is>
      </c>
      <c r="G19" s="31" t="n">
        <v>0.0073</v>
      </c>
      <c r="H19" s="19" t="n">
        <v>0.079</v>
      </c>
      <c r="I19" s="11">
        <f>G19/H19</f>
        <v/>
      </c>
      <c r="J19" s="12" t="n">
        <v>4</v>
      </c>
      <c r="K19" s="13">
        <f>J19/SUM($J$2:$J$22)</f>
        <v/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</row>
    <row r="20" ht="15.75" customHeight="1">
      <c r="A20" s="11" t="n">
        <v>19</v>
      </c>
      <c r="B20" s="12" t="inlineStr">
        <is>
          <t>TCS</t>
        </is>
      </c>
      <c r="C20" s="12" t="n">
        <v>12.5</v>
      </c>
      <c r="D20" s="12" t="n">
        <v>6</v>
      </c>
      <c r="E20" s="12" t="inlineStr">
        <is>
          <t>Large</t>
        </is>
      </c>
      <c r="F20" s="11" t="inlineStr">
        <is>
          <t>Nifty 50</t>
        </is>
      </c>
      <c r="G20" s="31" t="n">
        <v>0.0202</v>
      </c>
      <c r="H20" s="19" t="n">
        <v>0.079</v>
      </c>
      <c r="I20" s="11">
        <f>G20/H20</f>
        <v/>
      </c>
      <c r="J20" s="12" t="n">
        <v>4</v>
      </c>
      <c r="K20" s="13">
        <f>J20/SUM($J$2:$J$22)</f>
        <v/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</row>
    <row r="21" ht="15.75" customHeight="1">
      <c r="A21" s="11" t="n">
        <v>20</v>
      </c>
      <c r="B21" s="27" t="inlineStr">
        <is>
          <t>Aarti Industries</t>
        </is>
      </c>
      <c r="C21" s="31" t="n">
        <v>0.00176</v>
      </c>
      <c r="D21" s="12" t="n">
        <v>298</v>
      </c>
      <c r="E21" s="27" t="inlineStr">
        <is>
          <t>Small</t>
        </is>
      </c>
      <c r="F21" s="11" t="inlineStr">
        <is>
          <t>Nifty 50</t>
        </is>
      </c>
      <c r="G21" s="31" t="n">
        <v>-0.0081</v>
      </c>
      <c r="H21" s="19" t="n">
        <v>0.08</v>
      </c>
      <c r="I21" s="11">
        <f>G21/H21</f>
        <v/>
      </c>
      <c r="J21" s="12" t="n">
        <v>0.2</v>
      </c>
      <c r="K21" s="13">
        <f>J21/SUM($J$2:$J$22)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</row>
    <row r="22" ht="15.75" customHeight="1">
      <c r="A22" s="11" t="n">
        <v>21</v>
      </c>
      <c r="B22" s="27" t="inlineStr">
        <is>
          <t>Torrent Pharama</t>
        </is>
      </c>
      <c r="C22" s="12" t="n">
        <v>1.08</v>
      </c>
      <c r="D22" s="12" t="n">
        <v>60</v>
      </c>
      <c r="E22" s="12" t="inlineStr">
        <is>
          <t>Large</t>
        </is>
      </c>
      <c r="F22" s="11" t="inlineStr">
        <is>
          <t>Nifty 50</t>
        </is>
      </c>
      <c r="G22" s="31" t="n">
        <v>0.5819</v>
      </c>
      <c r="H22" s="19" t="n">
        <v>0.079</v>
      </c>
      <c r="I22" s="11">
        <f>G22/H22</f>
        <v/>
      </c>
      <c r="J22" s="12" t="n">
        <v>7</v>
      </c>
      <c r="K22" s="13">
        <f>J22/SUM($J$2:$J$22)</f>
        <v/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</row>
    <row r="23" ht="15.75" customHeight="1">
      <c r="A23" s="18" t="inlineStr">
        <is>
          <t>Total</t>
        </is>
      </c>
      <c r="B23" s="18" t="n"/>
      <c r="C23" s="18">
        <f>SUM(C2:C22)</f>
        <v/>
      </c>
      <c r="D23" s="18" t="n"/>
      <c r="E23" s="18" t="n"/>
      <c r="F23" s="18" t="n"/>
      <c r="G23" s="22">
        <f>SUMPRODUCT(G2:G22, K2:K22)</f>
        <v/>
      </c>
      <c r="H23" s="18" t="n"/>
      <c r="I23" s="21">
        <f>SUMPRODUCT(I2:I22, K2:K22)</f>
        <v/>
      </c>
      <c r="J23" s="18">
        <f>SUM(J2:J22)</f>
        <v/>
      </c>
      <c r="K23" s="20">
        <f>SUM(K2:K22)</f>
        <v/>
      </c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inlineStr">
        <is>
          <t>Weighted Average CAGR</t>
        </is>
      </c>
      <c r="H24" s="11" t="n"/>
      <c r="I24" s="11" t="inlineStr">
        <is>
          <t>Weighted Average B</t>
        </is>
      </c>
      <c r="J24" s="11" t="inlineStr">
        <is>
          <t>Must be close to 100 Cr</t>
        </is>
      </c>
      <c r="K24" s="11" t="inlineStr">
        <is>
          <t>Must be 100%</t>
        </is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</row>
    <row r="28" ht="15.75" customHeight="1">
      <c r="A28" s="14" t="inlineStr">
        <is>
          <t>To be recorded</t>
        </is>
      </c>
      <c r="B28" s="15" t="inlineStr">
        <is>
          <t>%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</row>
    <row r="29" ht="12.75" customHeight="1">
      <c r="A29" s="16" t="inlineStr">
        <is>
          <t>Large Cap Weight</t>
        </is>
      </c>
      <c r="B29" s="19" t="n">
        <v>0.8100000000000001</v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</row>
    <row r="30" ht="12.75" customHeight="1">
      <c r="A30" s="16" t="inlineStr">
        <is>
          <t>Mid Cap Weight</t>
        </is>
      </c>
      <c r="B30" s="19" t="n">
        <v>0.14</v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</row>
    <row r="31" ht="12.75" customHeight="1">
      <c r="A31" s="16" t="inlineStr">
        <is>
          <t>Small Cap weight</t>
        </is>
      </c>
      <c r="B31" s="19" t="n">
        <v>0.0476</v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</row>
    <row r="32" ht="12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</row>
    <row r="33" ht="12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</row>
    <row r="34" ht="12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</row>
    <row r="35" ht="12.75" customHeight="1"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</row>
    <row r="36" ht="12.75" customHeight="1"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</row>
    <row r="37" ht="12.75" customHeight="1"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</row>
    <row r="38" ht="12.75" customHeight="1"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</row>
    <row r="39" ht="12.75" customHeight="1"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</row>
    <row r="40" ht="12.75" customHeight="1"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</row>
    <row r="41" ht="12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</row>
    <row r="42" ht="12.75" customHeight="1">
      <c r="A42" s="17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</row>
    <row r="43" ht="12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</row>
    <row r="44" ht="12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</row>
    <row r="45" ht="12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</row>
    <row r="46" ht="12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</row>
    <row r="47" ht="12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</row>
    <row r="48" ht="12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</row>
    <row r="49" ht="12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</row>
    <row r="50" ht="12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</row>
    <row r="51" ht="12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</row>
    <row r="52" ht="12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</row>
    <row r="53" ht="12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</row>
    <row r="54" ht="12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</row>
    <row r="55" ht="12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</row>
    <row r="56" ht="12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</row>
    <row r="57" ht="12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</row>
    <row r="58" ht="12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</row>
    <row r="59" ht="12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</row>
    <row r="60" ht="12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</row>
    <row r="61" ht="12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</row>
    <row r="62" ht="12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</row>
    <row r="63" ht="12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</row>
    <row r="64" ht="12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</row>
    <row r="65" ht="12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</row>
    <row r="66" ht="12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</row>
    <row r="67" ht="12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</row>
    <row r="68" ht="12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</row>
    <row r="69" ht="12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</row>
    <row r="70" ht="12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</row>
    <row r="71" ht="12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</row>
    <row r="72" ht="12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</row>
    <row r="73" ht="12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</row>
    <row r="74" ht="12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</row>
    <row r="75" ht="12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</row>
    <row r="76" ht="12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</row>
    <row r="77" ht="12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</row>
    <row r="78" ht="12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</row>
    <row r="79" ht="12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</row>
    <row r="80" ht="12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</row>
    <row r="81" ht="12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</row>
    <row r="82" ht="12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</row>
    <row r="83" ht="12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</row>
    <row r="84" ht="12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</row>
    <row r="85" ht="12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</row>
    <row r="86" ht="12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</row>
    <row r="87" ht="12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</row>
    <row r="88" ht="12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</row>
    <row r="89" ht="12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</row>
    <row r="90" ht="12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</row>
    <row r="91" ht="12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</row>
    <row r="92" ht="12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</row>
    <row r="93" ht="12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</row>
    <row r="94" ht="12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</row>
    <row r="95" ht="12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</row>
    <row r="96" ht="12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</row>
    <row r="97" ht="12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</row>
    <row r="98" ht="12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</row>
    <row r="99" ht="12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</row>
    <row r="100" ht="12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</row>
    <row r="101" ht="12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</row>
    <row r="102" ht="12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</row>
    <row r="103" ht="12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</row>
    <row r="104" ht="12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</row>
    <row r="105" ht="12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</row>
    <row r="106" ht="12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</row>
    <row r="107" ht="12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</row>
    <row r="108" ht="12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</row>
    <row r="109" ht="12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</row>
    <row r="110" ht="12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</row>
    <row r="111" ht="12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</row>
    <row r="112" ht="12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</row>
    <row r="113" ht="12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</row>
    <row r="114" ht="12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</row>
    <row r="115" ht="12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</row>
    <row r="116" ht="12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</row>
    <row r="117" ht="12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</row>
    <row r="118" ht="12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</row>
    <row r="119" ht="12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</row>
    <row r="120" ht="12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</row>
    <row r="121" ht="12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</row>
    <row r="122" ht="12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</row>
    <row r="123" ht="12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</row>
    <row r="124" ht="12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</row>
    <row r="125" ht="12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</row>
    <row r="126" ht="12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</row>
    <row r="127" ht="12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</row>
    <row r="128" ht="12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</row>
    <row r="129" ht="12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</row>
    <row r="130" ht="12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</row>
    <row r="131" ht="12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</row>
    <row r="132" ht="12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</row>
    <row r="133" ht="12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</row>
    <row r="134" ht="12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</row>
    <row r="135" ht="12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</row>
    <row r="136" ht="12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</row>
    <row r="137" ht="12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</row>
    <row r="138" ht="12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</row>
    <row r="139" ht="12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</row>
    <row r="140" ht="12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</row>
    <row r="141" ht="12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</row>
    <row r="142" ht="12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</row>
    <row r="143" ht="12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</row>
    <row r="144" ht="12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</row>
    <row r="145" ht="12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</row>
    <row r="146" ht="12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</row>
    <row r="147" ht="12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</row>
    <row r="148" ht="12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</row>
    <row r="149" ht="12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</row>
    <row r="150" ht="12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</row>
    <row r="151" ht="12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</row>
    <row r="152" ht="12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</row>
    <row r="153" ht="12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</row>
    <row r="154" ht="12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</row>
    <row r="155" ht="12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</row>
    <row r="156" ht="12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</row>
    <row r="157" ht="12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</row>
    <row r="158" ht="12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</row>
    <row r="159" ht="12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</row>
    <row r="160" ht="12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</row>
    <row r="161" ht="12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</row>
    <row r="162" ht="12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</row>
    <row r="163" ht="12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</row>
    <row r="164" ht="12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</row>
    <row r="165" ht="12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</row>
    <row r="166" ht="12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</row>
    <row r="167" ht="12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</row>
    <row r="168" ht="12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</row>
    <row r="169" ht="12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</row>
    <row r="170" ht="12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</row>
    <row r="171" ht="12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</row>
    <row r="172" ht="12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</row>
    <row r="173" ht="12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</row>
    <row r="174" ht="12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</row>
    <row r="175" ht="12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</row>
    <row r="176" ht="12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</row>
    <row r="177" ht="12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</row>
    <row r="178" ht="12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</row>
    <row r="179" ht="12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</row>
    <row r="180" ht="12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</row>
    <row r="181" ht="12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</row>
    <row r="182" ht="12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</row>
    <row r="183" ht="12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</row>
    <row r="184" ht="12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</row>
    <row r="185" ht="12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</row>
    <row r="186" ht="12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</row>
    <row r="187" ht="12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</row>
    <row r="188" ht="12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</row>
    <row r="189" ht="12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</row>
    <row r="190" ht="12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</row>
    <row r="191" ht="12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</row>
    <row r="192" ht="12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</row>
    <row r="193" ht="12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</row>
    <row r="194" ht="12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</row>
    <row r="195" ht="12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</row>
    <row r="196" ht="12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</row>
    <row r="197" ht="12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</row>
    <row r="198" ht="12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</row>
    <row r="199" ht="12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</row>
    <row r="200" ht="12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</row>
    <row r="201" ht="12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</row>
    <row r="202" ht="12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</row>
    <row r="203" ht="12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</row>
    <row r="204" ht="12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</row>
    <row r="205" ht="12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</row>
    <row r="206" ht="12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</row>
    <row r="207" ht="12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</row>
    <row r="208" ht="12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</row>
    <row r="209" ht="12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</row>
    <row r="210" ht="12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</row>
    <row r="211" ht="12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</row>
    <row r="212" ht="12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</row>
    <row r="213" ht="12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</row>
    <row r="214" ht="12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</row>
    <row r="215" ht="12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</row>
    <row r="216" ht="12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</row>
    <row r="217" ht="12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</row>
    <row r="218" ht="12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</row>
    <row r="219" ht="12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</row>
    <row r="220" ht="12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</row>
    <row r="221" ht="12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</row>
    <row r="222" ht="12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</row>
    <row r="223" ht="12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</row>
    <row r="224" ht="12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</row>
    <row r="225" ht="12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</row>
    <row r="226" ht="12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</row>
    <row r="227" ht="12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</row>
    <row r="228" ht="12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</row>
    <row r="229" ht="12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</row>
    <row r="230" ht="12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</row>
    <row r="231" ht="12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</row>
    <row r="232" ht="12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</row>
    <row r="233" ht="12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</row>
    <row r="234" ht="12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</row>
    <row r="235" ht="12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</row>
    <row r="236" ht="12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</row>
    <row r="237" ht="12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</row>
    <row r="238" ht="12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</row>
    <row r="239" ht="12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</row>
    <row r="240" ht="12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</row>
    <row r="241" ht="12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</row>
    <row r="242" ht="12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</row>
    <row r="243" ht="12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</row>
    <row r="244" ht="12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</row>
    <row r="245" ht="12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</row>
    <row r="246" ht="12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</row>
    <row r="247" ht="12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</row>
    <row r="248" ht="12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</row>
    <row r="249" ht="12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</row>
    <row r="250" ht="12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</row>
    <row r="251" ht="12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</row>
    <row r="252" ht="12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</row>
    <row r="253" ht="12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</row>
    <row r="254" ht="12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</row>
    <row r="255" ht="12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</row>
    <row r="256" ht="12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</row>
    <row r="257" ht="12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</row>
    <row r="258" ht="12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</row>
    <row r="259" ht="12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</row>
    <row r="260" ht="12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</row>
    <row r="261" ht="12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</row>
    <row r="262" ht="12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</row>
    <row r="263" ht="12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</row>
    <row r="264" ht="12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</row>
    <row r="265" ht="12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</row>
    <row r="266" ht="12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</row>
    <row r="267" ht="12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</row>
    <row r="268" ht="12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</row>
    <row r="269" ht="12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</row>
    <row r="270" ht="12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</row>
    <row r="271" ht="12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</row>
    <row r="272" ht="12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</row>
    <row r="273" ht="12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</row>
    <row r="274" ht="12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</row>
    <row r="275" ht="12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</row>
    <row r="276" ht="12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</row>
    <row r="277" ht="12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</row>
    <row r="278" ht="12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</row>
    <row r="279" ht="12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</row>
    <row r="280" ht="12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</row>
    <row r="281" ht="12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</row>
    <row r="282" ht="12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</row>
    <row r="283" ht="12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</row>
    <row r="284" ht="12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</row>
    <row r="285" ht="12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</row>
    <row r="286" ht="12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</row>
    <row r="287" ht="12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</row>
    <row r="288" ht="12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</row>
    <row r="289" ht="12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</row>
    <row r="290" ht="12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</row>
    <row r="291" ht="12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</row>
    <row r="292" ht="12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</row>
    <row r="293" ht="12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</row>
    <row r="294" ht="12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</row>
    <row r="295" ht="12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</row>
    <row r="296" ht="12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</row>
    <row r="297" ht="12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</row>
    <row r="298" ht="12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</row>
    <row r="299" ht="12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</row>
    <row r="300" ht="12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</row>
    <row r="301" ht="12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</row>
    <row r="302" ht="12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</row>
    <row r="303" ht="12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</row>
    <row r="304" ht="12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</row>
    <row r="305" ht="12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</row>
    <row r="306" ht="12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</row>
    <row r="307" ht="12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</row>
    <row r="308" ht="12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</row>
    <row r="309" ht="12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</row>
    <row r="310" ht="12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</row>
    <row r="311" ht="12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</row>
    <row r="312" ht="12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</row>
    <row r="313" ht="12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</row>
    <row r="314" ht="12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</row>
    <row r="315" ht="12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</row>
    <row r="316" ht="12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</row>
    <row r="317" ht="12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</row>
    <row r="318" ht="12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</row>
    <row r="319" ht="12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</row>
    <row r="320" ht="12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</row>
    <row r="321" ht="12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</row>
    <row r="322" ht="12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</row>
    <row r="323" ht="12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</row>
    <row r="324" ht="12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</row>
    <row r="325" ht="12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</row>
    <row r="326" ht="12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</row>
    <row r="327" ht="12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</row>
    <row r="328" ht="12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</row>
    <row r="329" ht="12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</row>
    <row r="330" ht="12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</row>
    <row r="331" ht="12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</row>
    <row r="332" ht="12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</row>
    <row r="333" ht="12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</row>
    <row r="334" ht="12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</row>
    <row r="335" ht="12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</row>
    <row r="336" ht="12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</row>
    <row r="337" ht="12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</row>
    <row r="338" ht="12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</row>
    <row r="339" ht="12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</row>
    <row r="340" ht="12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</row>
    <row r="341" ht="12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</row>
    <row r="342" ht="12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</row>
    <row r="343" ht="12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</row>
    <row r="344" ht="12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</row>
    <row r="345" ht="12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</row>
    <row r="346" ht="12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</row>
    <row r="347" ht="12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</row>
    <row r="348" ht="12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</row>
    <row r="349" ht="12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</row>
    <row r="350" ht="12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</row>
    <row r="351" ht="12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</row>
    <row r="352" ht="12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</row>
    <row r="353" ht="12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</row>
    <row r="354" ht="12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</row>
    <row r="355" ht="12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</row>
    <row r="356" ht="12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</row>
    <row r="357" ht="12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</row>
    <row r="358" ht="12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</row>
    <row r="359" ht="12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</row>
    <row r="360" ht="12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</row>
    <row r="361" ht="12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</row>
    <row r="362" ht="12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</row>
    <row r="363" ht="12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</row>
    <row r="364" ht="12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</row>
    <row r="365" ht="12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</row>
    <row r="366" ht="12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</row>
    <row r="367" ht="12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</row>
    <row r="368" ht="12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</row>
    <row r="369" ht="12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</row>
    <row r="370" ht="12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</row>
    <row r="371" ht="12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</row>
    <row r="372" ht="12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</row>
    <row r="373" ht="12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</row>
    <row r="374" ht="12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</row>
    <row r="375" ht="12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</row>
    <row r="376" ht="12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</row>
    <row r="377" ht="12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</row>
    <row r="378" ht="12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</row>
    <row r="379" ht="12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</row>
    <row r="380" ht="12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</row>
    <row r="381" ht="12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</row>
    <row r="382" ht="12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</row>
    <row r="383" ht="12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</row>
    <row r="384" ht="12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</row>
    <row r="385" ht="12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</row>
    <row r="386" ht="12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</row>
    <row r="387" ht="12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</row>
    <row r="388" ht="12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</row>
    <row r="389" ht="12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</row>
    <row r="390" ht="12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</row>
    <row r="391" ht="12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</row>
    <row r="392" ht="12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</row>
    <row r="393" ht="12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</row>
    <row r="394" ht="12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</row>
    <row r="395" ht="12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</row>
    <row r="396" ht="12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</row>
    <row r="397" ht="12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</row>
    <row r="398" ht="12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</row>
    <row r="399" ht="12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</row>
    <row r="400" ht="12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</row>
    <row r="401" ht="12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</row>
    <row r="402" ht="12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</row>
    <row r="403" ht="12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</row>
    <row r="404" ht="12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</row>
    <row r="405" ht="12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</row>
    <row r="406" ht="12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</row>
    <row r="407" ht="12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</row>
    <row r="408" ht="12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</row>
    <row r="409" ht="12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</row>
    <row r="410" ht="12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</row>
    <row r="411" ht="12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</row>
    <row r="412" ht="12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</row>
    <row r="413" ht="12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</row>
    <row r="414" ht="12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</row>
    <row r="415" ht="12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</row>
    <row r="416" ht="12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</row>
    <row r="417" ht="12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</row>
    <row r="418" ht="12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</row>
    <row r="419" ht="12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</row>
    <row r="420" ht="12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</row>
    <row r="421" ht="12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</row>
    <row r="422" ht="12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</row>
    <row r="423" ht="12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</row>
    <row r="424" ht="12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</row>
    <row r="425" ht="12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</row>
    <row r="426" ht="12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</row>
    <row r="427" ht="12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</row>
    <row r="428" ht="12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</row>
    <row r="429" ht="12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</row>
    <row r="430" ht="12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</row>
    <row r="431" ht="12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</row>
    <row r="432" ht="12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</row>
    <row r="433" ht="12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</row>
    <row r="434" ht="12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</row>
    <row r="435" ht="12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</row>
    <row r="436" ht="12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</row>
    <row r="437" ht="12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</row>
    <row r="438" ht="12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</row>
    <row r="439" ht="12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</row>
    <row r="440" ht="12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</row>
    <row r="441" ht="12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</row>
    <row r="442" ht="12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</row>
    <row r="443" ht="12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</row>
    <row r="444" ht="12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</row>
    <row r="445" ht="12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</row>
    <row r="446" ht="12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</row>
    <row r="447" ht="12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</row>
    <row r="448" ht="12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</row>
    <row r="449" ht="12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</row>
    <row r="450" ht="12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</row>
    <row r="451" ht="12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</row>
    <row r="452" ht="12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</row>
    <row r="453" ht="12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</row>
    <row r="454" ht="12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</row>
    <row r="455" ht="12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</row>
    <row r="456" ht="12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</row>
    <row r="457" ht="12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</row>
    <row r="458" ht="12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</row>
    <row r="459" ht="12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</row>
    <row r="460" ht="12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</row>
    <row r="461" ht="12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</row>
    <row r="462" ht="12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</row>
    <row r="463" ht="12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</row>
    <row r="464" ht="12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</row>
    <row r="465" ht="12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</row>
    <row r="466" ht="12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</row>
    <row r="467" ht="12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</row>
    <row r="468" ht="12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</row>
    <row r="469" ht="12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</row>
    <row r="470" ht="12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</row>
    <row r="471" ht="12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</row>
    <row r="472" ht="12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</row>
    <row r="473" ht="12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</row>
    <row r="474" ht="12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</row>
    <row r="475" ht="12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</row>
    <row r="476" ht="12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</row>
    <row r="477" ht="12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</row>
    <row r="478" ht="12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</row>
    <row r="479" ht="12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</row>
    <row r="480" ht="12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</row>
    <row r="481" ht="12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</row>
    <row r="482" ht="12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</row>
    <row r="483" ht="12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</row>
    <row r="484" ht="12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</row>
    <row r="485" ht="12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</row>
    <row r="486" ht="12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</row>
    <row r="487" ht="12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</row>
    <row r="488" ht="12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</row>
    <row r="489" ht="12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</row>
    <row r="490" ht="12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</row>
    <row r="491" ht="12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</row>
    <row r="492" ht="12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</row>
    <row r="493" ht="12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</row>
    <row r="494" ht="12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</row>
    <row r="495" ht="12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</row>
    <row r="496" ht="12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</row>
    <row r="497" ht="12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</row>
    <row r="498" ht="12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</row>
    <row r="499" ht="12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</row>
    <row r="500" ht="12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</row>
    <row r="501" ht="12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</row>
    <row r="502" ht="12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</row>
    <row r="503" ht="12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</row>
    <row r="504" ht="12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</row>
    <row r="505" ht="12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</row>
    <row r="506" ht="12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</row>
    <row r="507" ht="12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</row>
    <row r="508" ht="12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</row>
    <row r="509" ht="12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</row>
    <row r="510" ht="12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</row>
    <row r="511" ht="12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</row>
    <row r="512" ht="12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</row>
    <row r="513" ht="12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</row>
    <row r="514" ht="12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</row>
    <row r="515" ht="12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</row>
    <row r="516" ht="12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</row>
    <row r="517" ht="12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</row>
    <row r="518" ht="12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</row>
    <row r="519" ht="12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</row>
    <row r="520" ht="12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</row>
    <row r="521" ht="12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</row>
    <row r="522" ht="12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</row>
    <row r="523" ht="12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</row>
    <row r="524" ht="12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</row>
    <row r="525" ht="12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</row>
    <row r="526" ht="12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</row>
    <row r="527" ht="12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</row>
    <row r="528" ht="12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</row>
    <row r="529" ht="12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</row>
    <row r="530" ht="12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</row>
    <row r="531" ht="12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</row>
    <row r="532" ht="12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</row>
    <row r="533" ht="12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</row>
    <row r="534" ht="12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</row>
    <row r="535" ht="12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</row>
    <row r="536" ht="12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</row>
    <row r="537" ht="12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</row>
    <row r="538" ht="12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</row>
    <row r="539" ht="12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</row>
    <row r="540" ht="12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</row>
    <row r="541" ht="12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</row>
    <row r="542" ht="12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</row>
    <row r="543" ht="12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</row>
    <row r="544" ht="12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</row>
    <row r="545" ht="12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</row>
    <row r="546" ht="12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</row>
    <row r="547" ht="12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</row>
    <row r="548" ht="12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</row>
    <row r="549" ht="12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</row>
    <row r="550" ht="12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</row>
    <row r="551" ht="12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</row>
    <row r="552" ht="12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</row>
    <row r="553" ht="12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</row>
    <row r="554" ht="12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</row>
    <row r="555" ht="12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</row>
    <row r="556" ht="12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</row>
    <row r="557" ht="12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</row>
    <row r="558" ht="12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</row>
    <row r="559" ht="12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</row>
    <row r="560" ht="12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</row>
    <row r="561" ht="12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</row>
    <row r="562" ht="12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</row>
    <row r="563" ht="12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</row>
    <row r="564" ht="12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</row>
    <row r="565" ht="12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</row>
    <row r="566" ht="12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</row>
    <row r="567" ht="12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</row>
    <row r="568" ht="12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</row>
    <row r="569" ht="12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</row>
    <row r="570" ht="12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</row>
    <row r="571" ht="12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</row>
    <row r="572" ht="12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</row>
    <row r="573" ht="12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</row>
    <row r="574" ht="12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</row>
    <row r="575" ht="12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</row>
    <row r="576" ht="12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</row>
    <row r="577" ht="12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</row>
    <row r="578" ht="12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</row>
    <row r="579" ht="12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</row>
    <row r="580" ht="12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</row>
    <row r="581" ht="12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</row>
    <row r="582" ht="12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</row>
    <row r="583" ht="12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</row>
    <row r="584" ht="12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</row>
    <row r="585" ht="12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</row>
    <row r="586" ht="12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</row>
    <row r="587" ht="12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</row>
    <row r="588" ht="12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</row>
    <row r="589" ht="12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</row>
    <row r="590" ht="12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</row>
    <row r="591" ht="12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</row>
    <row r="592" ht="12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</row>
    <row r="593" ht="12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</row>
    <row r="594" ht="12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</row>
    <row r="595" ht="12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</row>
    <row r="596" ht="12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</row>
    <row r="597" ht="12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</row>
    <row r="598" ht="12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</row>
    <row r="599" ht="12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</row>
    <row r="600" ht="12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</row>
    <row r="601" ht="12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</row>
    <row r="602" ht="12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</row>
    <row r="603" ht="12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</row>
    <row r="604" ht="12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</row>
    <row r="605" ht="12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</row>
    <row r="606" ht="12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</row>
    <row r="607" ht="12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</row>
    <row r="608" ht="12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</row>
    <row r="609" ht="12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</row>
    <row r="610" ht="12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</row>
    <row r="611" ht="12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</row>
    <row r="612" ht="12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</row>
    <row r="613" ht="12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</row>
    <row r="614" ht="12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</row>
    <row r="615" ht="12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</row>
    <row r="616" ht="12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</row>
    <row r="617" ht="12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</row>
    <row r="618" ht="12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</row>
    <row r="619" ht="12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</row>
    <row r="620" ht="12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</row>
    <row r="621" ht="12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</row>
    <row r="622" ht="12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</row>
    <row r="623" ht="12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</row>
    <row r="624" ht="12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</row>
    <row r="625" ht="12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</row>
    <row r="626" ht="12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</row>
    <row r="627" ht="12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</row>
    <row r="628" ht="12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</row>
    <row r="629" ht="12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</row>
    <row r="630" ht="12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</row>
    <row r="631" ht="12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</row>
    <row r="632" ht="12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</row>
    <row r="633" ht="12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</row>
    <row r="634" ht="12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</row>
    <row r="635" ht="12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</row>
    <row r="636" ht="12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</row>
    <row r="637" ht="12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</row>
    <row r="638" ht="12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</row>
    <row r="639" ht="12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</row>
    <row r="640" ht="12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</row>
    <row r="641" ht="12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</row>
    <row r="642" ht="12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</row>
    <row r="643" ht="12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</row>
    <row r="644" ht="12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</row>
    <row r="645" ht="12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</row>
    <row r="646" ht="12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</row>
    <row r="647" ht="12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</row>
    <row r="648" ht="12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</row>
    <row r="649" ht="12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</row>
    <row r="650" ht="12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</row>
    <row r="651" ht="12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</row>
    <row r="652" ht="12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</row>
    <row r="653" ht="12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</row>
    <row r="654" ht="12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</row>
    <row r="655" ht="12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</row>
    <row r="656" ht="12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</row>
    <row r="657" ht="12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</row>
    <row r="658" ht="12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</row>
    <row r="659" ht="12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</row>
    <row r="660" ht="12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</row>
    <row r="661" ht="12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</row>
    <row r="662" ht="12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</row>
    <row r="663" ht="12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</row>
    <row r="664" ht="12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</row>
    <row r="665" ht="12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</row>
    <row r="666" ht="12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</row>
    <row r="667" ht="12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</row>
    <row r="668" ht="12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</row>
    <row r="669" ht="12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</row>
    <row r="670" ht="12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</row>
    <row r="671" ht="12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</row>
    <row r="672" ht="12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</row>
    <row r="673" ht="12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</row>
    <row r="674" ht="12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</row>
    <row r="675" ht="12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</row>
    <row r="676" ht="12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</row>
    <row r="677" ht="12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</row>
    <row r="678" ht="12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</row>
    <row r="679" ht="12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</row>
    <row r="680" ht="12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</row>
    <row r="681" ht="12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</row>
    <row r="682" ht="12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</row>
    <row r="683" ht="12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</row>
    <row r="684" ht="12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</row>
    <row r="685" ht="12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</row>
    <row r="686" ht="12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</row>
    <row r="687" ht="12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</row>
    <row r="688" ht="12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</row>
    <row r="689" ht="12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</row>
    <row r="690" ht="12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</row>
    <row r="691" ht="12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</row>
    <row r="692" ht="12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</row>
    <row r="693" ht="12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</row>
    <row r="694" ht="12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</row>
    <row r="695" ht="12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</row>
    <row r="696" ht="12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</row>
    <row r="697" ht="12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</row>
    <row r="698" ht="12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</row>
    <row r="699" ht="12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</row>
    <row r="700" ht="12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</row>
    <row r="701" ht="12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</row>
    <row r="702" ht="12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</row>
    <row r="703" ht="12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</row>
    <row r="704" ht="12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</row>
    <row r="705" ht="12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</row>
    <row r="706" ht="12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</row>
    <row r="707" ht="12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</row>
    <row r="708" ht="12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</row>
    <row r="709" ht="12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</row>
    <row r="710" ht="12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</row>
    <row r="711" ht="12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</row>
    <row r="712" ht="12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</row>
    <row r="713" ht="12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</row>
    <row r="714" ht="12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</row>
    <row r="715" ht="12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</row>
    <row r="716" ht="12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</row>
    <row r="717" ht="12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</row>
    <row r="718" ht="12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</row>
    <row r="719" ht="12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</row>
    <row r="720" ht="12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</row>
    <row r="721" ht="12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</row>
    <row r="722" ht="12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</row>
    <row r="723" ht="12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</row>
    <row r="724" ht="12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</row>
    <row r="725" ht="12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</row>
    <row r="726" ht="12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</row>
    <row r="727" ht="12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</row>
    <row r="728" ht="12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</row>
    <row r="729" ht="12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</row>
    <row r="730" ht="12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</row>
    <row r="731" ht="12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</row>
    <row r="732" ht="12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</row>
    <row r="733" ht="12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</row>
    <row r="734" ht="12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</row>
    <row r="735" ht="12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</row>
    <row r="736" ht="12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</row>
    <row r="737" ht="12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</row>
    <row r="738" ht="12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</row>
    <row r="739" ht="12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</row>
    <row r="740" ht="12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</row>
    <row r="741" ht="12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</row>
    <row r="742" ht="12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</row>
    <row r="743" ht="12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</row>
    <row r="744" ht="12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</row>
    <row r="745" ht="12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</row>
    <row r="746" ht="12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</row>
    <row r="747" ht="12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</row>
    <row r="748" ht="12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</row>
    <row r="749" ht="12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</row>
    <row r="750" ht="12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</row>
    <row r="751" ht="12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</row>
    <row r="752" ht="12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</row>
    <row r="753" ht="12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</row>
    <row r="754" ht="12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</row>
    <row r="755" ht="12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</row>
    <row r="756" ht="12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</row>
    <row r="757" ht="12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</row>
    <row r="758" ht="12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</row>
    <row r="759" ht="12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</row>
    <row r="760" ht="12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</row>
    <row r="761" ht="12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</row>
    <row r="762" ht="12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</row>
    <row r="763" ht="12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</row>
    <row r="764" ht="12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</row>
    <row r="765" ht="12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</row>
    <row r="766" ht="12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</row>
    <row r="767" ht="12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</row>
    <row r="768" ht="12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</row>
    <row r="769" ht="12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</row>
    <row r="770" ht="12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</row>
    <row r="771" ht="12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</row>
    <row r="772" ht="12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</row>
    <row r="773" ht="12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</row>
    <row r="774" ht="12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</row>
    <row r="775" ht="12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</row>
    <row r="776" ht="12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</row>
    <row r="777" ht="12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</row>
    <row r="778" ht="12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</row>
    <row r="779" ht="12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</row>
    <row r="780" ht="12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</row>
    <row r="781" ht="12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</row>
    <row r="782" ht="12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</row>
    <row r="783" ht="12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</row>
    <row r="784" ht="12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</row>
    <row r="785" ht="12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</row>
    <row r="786" ht="12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</row>
    <row r="787" ht="12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</row>
    <row r="788" ht="12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</row>
    <row r="789" ht="12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</row>
    <row r="790" ht="12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</row>
    <row r="791" ht="12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</row>
    <row r="792" ht="12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</row>
    <row r="793" ht="12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</row>
    <row r="794" ht="12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</row>
    <row r="795" ht="12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</row>
    <row r="796" ht="12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</row>
    <row r="797" ht="12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</row>
    <row r="798" ht="12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</row>
    <row r="799" ht="12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</row>
    <row r="800" ht="12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</row>
    <row r="801" ht="12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</row>
    <row r="802" ht="12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</row>
    <row r="803" ht="12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</row>
    <row r="804" ht="12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</row>
    <row r="805" ht="12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</row>
    <row r="806" ht="12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</row>
    <row r="807" ht="12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</row>
    <row r="808" ht="12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</row>
    <row r="809" ht="12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</row>
    <row r="810" ht="12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</row>
    <row r="811" ht="12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</row>
    <row r="812" ht="12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</row>
    <row r="813" ht="12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</row>
    <row r="814" ht="12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</row>
    <row r="815" ht="12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</row>
    <row r="816" ht="12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</row>
    <row r="817" ht="12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</row>
    <row r="818" ht="12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</row>
    <row r="819" ht="12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</row>
    <row r="820" ht="12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</row>
    <row r="821" ht="12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</row>
    <row r="822" ht="12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</row>
    <row r="823" ht="12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</row>
    <row r="824" ht="12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</row>
    <row r="825" ht="12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</row>
    <row r="826" ht="12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</row>
    <row r="827" ht="12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</row>
    <row r="828" ht="12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</row>
    <row r="829" ht="12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</row>
    <row r="830" ht="12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</row>
    <row r="831" ht="12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</row>
    <row r="832" ht="12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</row>
    <row r="833" ht="12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</row>
    <row r="834" ht="12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</row>
    <row r="835" ht="12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</row>
    <row r="836" ht="12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</row>
    <row r="837" ht="12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</row>
    <row r="838" ht="12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</row>
    <row r="839" ht="12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</row>
    <row r="840" ht="12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</row>
    <row r="841" ht="12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</row>
    <row r="842" ht="12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</row>
    <row r="843" ht="12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</row>
    <row r="844" ht="12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</row>
    <row r="845" ht="12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</row>
    <row r="846" ht="12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</row>
    <row r="847" ht="12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</row>
    <row r="848" ht="12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</row>
    <row r="849" ht="12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</row>
    <row r="850" ht="12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</row>
    <row r="851" ht="12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</row>
    <row r="852" ht="12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</row>
    <row r="853" ht="12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</row>
    <row r="854" ht="12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</row>
    <row r="855" ht="12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</row>
    <row r="856" ht="12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</row>
    <row r="857" ht="12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</row>
    <row r="858" ht="12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</row>
    <row r="859" ht="12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</row>
    <row r="860" ht="12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</row>
    <row r="861" ht="12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</row>
    <row r="862" ht="12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</row>
    <row r="863" ht="12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</row>
    <row r="864" ht="12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</row>
    <row r="865" ht="12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</row>
    <row r="866" ht="12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</row>
    <row r="867" ht="12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</row>
    <row r="868" ht="12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</row>
    <row r="869" ht="12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</row>
    <row r="870" ht="12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</row>
    <row r="871" ht="12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</row>
    <row r="872" ht="12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</row>
    <row r="873" ht="12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</row>
    <row r="874" ht="12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</row>
    <row r="875" ht="12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</row>
    <row r="876" ht="12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</row>
    <row r="877" ht="12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</row>
    <row r="878" ht="12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</row>
    <row r="879" ht="12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</row>
    <row r="880" ht="12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</row>
    <row r="881" ht="12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</row>
    <row r="882" ht="12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</row>
    <row r="883" ht="12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</row>
    <row r="884" ht="12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</row>
    <row r="885" ht="12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</row>
    <row r="886" ht="12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</row>
    <row r="887" ht="12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</row>
    <row r="888" ht="12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</row>
    <row r="889" ht="12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</row>
    <row r="890" ht="12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</row>
    <row r="891" ht="12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</row>
    <row r="892" ht="12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</row>
    <row r="893" ht="12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</row>
    <row r="894" ht="12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</row>
    <row r="895" ht="12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</row>
    <row r="896" ht="12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</row>
    <row r="897" ht="12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</row>
    <row r="898" ht="12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</row>
    <row r="899" ht="12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</row>
    <row r="900" ht="12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</row>
    <row r="901" ht="12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</row>
    <row r="902" ht="12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</row>
    <row r="903" ht="12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</row>
    <row r="904" ht="12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</row>
    <row r="905" ht="12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</row>
    <row r="906" ht="12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</row>
    <row r="907" ht="12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</row>
    <row r="908" ht="12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</row>
    <row r="909" ht="12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</row>
    <row r="910" ht="12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</row>
    <row r="911" ht="12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</row>
    <row r="912" ht="12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</row>
    <row r="913" ht="12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</row>
    <row r="914" ht="12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</row>
    <row r="915" ht="12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</row>
    <row r="916" ht="12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</row>
    <row r="917" ht="12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</row>
    <row r="918" ht="12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</row>
    <row r="919" ht="12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</row>
    <row r="920" ht="12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</row>
    <row r="921" ht="12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</row>
    <row r="922" ht="12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</row>
    <row r="923" ht="12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</row>
    <row r="924" ht="12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</row>
    <row r="925" ht="12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</row>
    <row r="926" ht="12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</row>
    <row r="927" ht="12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</row>
    <row r="928" ht="12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</row>
    <row r="929" ht="12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</row>
    <row r="930" ht="12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</row>
    <row r="931" ht="12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</row>
    <row r="932" ht="12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</row>
    <row r="933" ht="12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</row>
    <row r="934" ht="12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</row>
    <row r="935" ht="12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</row>
    <row r="936" ht="12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</row>
    <row r="937" ht="12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</row>
    <row r="938" ht="12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</row>
    <row r="939" ht="12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</row>
    <row r="940" ht="12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</row>
    <row r="941" ht="12.7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</row>
    <row r="942" ht="12.7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</row>
    <row r="943" ht="12.7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</row>
    <row r="944" ht="12.7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</row>
    <row r="945" ht="12.7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</row>
    <row r="946" ht="12.7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</row>
    <row r="947" ht="12.7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</row>
    <row r="948" ht="12.7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</row>
    <row r="949" ht="12.7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</row>
    <row r="950" ht="12.7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</row>
    <row r="951" ht="12.7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</row>
    <row r="952" ht="12.7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</row>
    <row r="953" ht="12.7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</row>
    <row r="954" ht="12.7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</row>
    <row r="955" ht="12.7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</row>
    <row r="956" ht="12.7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</row>
    <row r="957" ht="12.7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</row>
    <row r="958" ht="12.7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</row>
    <row r="959" ht="12.7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</row>
    <row r="960" ht="12.7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</row>
    <row r="961" ht="12.7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</row>
    <row r="962" ht="12.7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</row>
    <row r="963" ht="12.7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</row>
    <row r="964" ht="12.7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</row>
    <row r="965" ht="12.7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</row>
    <row r="966" ht="12.7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</row>
    <row r="967" ht="12.7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</row>
    <row r="968" ht="12.7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</row>
    <row r="969" ht="12.7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</row>
    <row r="970" ht="12.7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</row>
    <row r="971" ht="12.7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</row>
    <row r="972" ht="12.7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</row>
    <row r="973" ht="12.7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</row>
    <row r="974" ht="12.7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</row>
    <row r="975" ht="12.7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</row>
    <row r="976" ht="12.7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</row>
    <row r="977" ht="12.7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</row>
    <row r="978" ht="12.7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</row>
    <row r="979" ht="12.7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</row>
    <row r="980" ht="12.7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</row>
    <row r="981" ht="12.7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</row>
    <row r="982" ht="12.7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</row>
    <row r="983" ht="12.7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</row>
    <row r="984" ht="12.7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</row>
    <row r="985" ht="12.7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</row>
    <row r="986" ht="12.7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</row>
    <row r="987" ht="12.7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</row>
    <row r="988" ht="12.7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</row>
    <row r="989" ht="12.7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</row>
    <row r="990" ht="12.7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</row>
    <row r="991" ht="12.7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</row>
    <row r="992" ht="12.7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</row>
    <row r="993" ht="12.7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</row>
    <row r="994" ht="12.7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</row>
    <row r="995" ht="12.7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</row>
    <row r="996" ht="12.7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</row>
    <row r="997" ht="12.7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</row>
    <row r="998" ht="12.7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</row>
    <row r="999" ht="12.7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</row>
    <row r="1000" ht="12.7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</row>
    <row r="1001" ht="12.75" customHeight="1">
      <c r="A1001" s="11" t="n"/>
      <c r="B1001" s="11" t="n"/>
      <c r="C1001" s="11" t="n"/>
      <c r="D1001" s="11" t="n"/>
      <c r="E1001" s="11" t="n"/>
      <c r="F1001" s="11" t="n"/>
      <c r="G1001" s="11" t="n"/>
      <c r="H1001" s="11" t="n"/>
      <c r="I1001" s="11" t="n"/>
      <c r="J1001" s="11" t="n"/>
      <c r="K1001" s="11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  <c r="AA1001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25"/>
  <sheetViews>
    <sheetView tabSelected="1" zoomScale="85" workbookViewId="0">
      <selection activeCell="J19" sqref="J19"/>
    </sheetView>
  </sheetViews>
  <sheetFormatPr baseColWidth="8" defaultColWidth="12.6640625" defaultRowHeight="15.75" customHeight="1"/>
  <cols>
    <col width="4.33203125" bestFit="1" customWidth="1" min="1" max="1"/>
    <col width="8.46484375" bestFit="1" customWidth="1" min="2" max="2"/>
    <col width="4.33203125" bestFit="1" customWidth="1" min="3" max="3"/>
    <col width="8.6640625" bestFit="1" customWidth="1" min="4" max="4"/>
    <col width="19.86328125" bestFit="1" customWidth="1" min="5" max="5"/>
    <col width="17" bestFit="1" customWidth="1" min="6" max="6"/>
    <col width="17" customWidth="1" min="7" max="8"/>
    <col width="9.33203125" bestFit="1" customWidth="1" min="9" max="9"/>
    <col width="24" bestFit="1" customWidth="1" min="10" max="10"/>
    <col width="9.796875" bestFit="1" customWidth="1" min="11" max="11"/>
    <col width="16.86328125" bestFit="1" customWidth="1" min="12" max="12"/>
    <col width="7.19921875" bestFit="1" customWidth="1" min="13" max="13"/>
    <col width="24.46484375" bestFit="1" customWidth="1" min="14" max="14"/>
    <col width="8.796875" bestFit="1" customWidth="1" min="15" max="15"/>
    <col width="11.53125" bestFit="1" customWidth="1" min="16" max="16"/>
  </cols>
  <sheetData>
    <row r="1" ht="15.75" customHeight="1">
      <c r="A1" s="2" t="inlineStr">
        <is>
          <t xml:space="preserve">Rf = </t>
        </is>
      </c>
      <c r="B1" s="7" t="n">
        <v>0.07000000000000001</v>
      </c>
    </row>
    <row r="2" ht="15.75" customHeight="1">
      <c r="A2" s="2" t="inlineStr">
        <is>
          <t xml:space="preserve">NAV at Day </t>
        </is>
      </c>
      <c r="B2" s="2" t="n">
        <v>10</v>
      </c>
    </row>
    <row r="5" ht="13.15" customHeight="1">
      <c r="C5" s="2" t="inlineStr">
        <is>
          <t>Day</t>
        </is>
      </c>
      <c r="D5" s="2" t="inlineStr">
        <is>
          <t>Date</t>
        </is>
      </c>
      <c r="E5" s="2" t="inlineStr">
        <is>
          <t>Daily portfolio gain (%)</t>
        </is>
      </c>
      <c r="F5" s="2" t="inlineStr">
        <is>
          <t>Daily Nifty gain (%)</t>
        </is>
      </c>
      <c r="G5" s="2" t="inlineStr">
        <is>
          <t>Fund Value (Cr)</t>
        </is>
      </c>
      <c r="H5" s="2" t="inlineStr">
        <is>
          <t>Benchmark Value</t>
        </is>
      </c>
      <c r="I5" s="5" t="inlineStr">
        <is>
          <t>Fund NAV</t>
        </is>
      </c>
      <c r="J5" s="6" t="inlineStr">
        <is>
          <t>(Fund - Benchmark) gains</t>
        </is>
      </c>
      <c r="K5" s="6" t="inlineStr">
        <is>
          <t>Beta Daily</t>
        </is>
      </c>
      <c r="L5" s="6" t="inlineStr">
        <is>
          <t>Beta Commulative</t>
        </is>
      </c>
      <c r="M5" s="5" t="inlineStr">
        <is>
          <t>Rs - Rf</t>
        </is>
      </c>
      <c r="N5" s="5" t="inlineStr">
        <is>
          <t>Treynor Ratio [Rs - Rf]/ Beta</t>
        </is>
      </c>
    </row>
    <row r="6" ht="12.75" customHeight="1">
      <c r="C6" s="4" t="n">
        <v>1</v>
      </c>
      <c r="D6" s="8" t="n">
        <v>46204</v>
      </c>
      <c r="E6" s="30" t="n">
        <v>0.0017</v>
      </c>
      <c r="F6" s="23" t="n">
        <v>-0.0034</v>
      </c>
      <c r="G6" s="12" t="n">
        <v>100</v>
      </c>
      <c r="H6" s="12" t="n">
        <v>23866</v>
      </c>
      <c r="I6" s="24">
        <f>B2</f>
        <v/>
      </c>
      <c r="J6" s="25">
        <f>E6-F6</f>
        <v/>
      </c>
      <c r="K6" s="26">
        <f>E6/F6</f>
        <v/>
      </c>
      <c r="L6" s="26" t="n">
        <v>1</v>
      </c>
      <c r="M6" s="25">
        <f>50*(SUM($E$6:E6)-$B$1*C6/365)</f>
        <v/>
      </c>
      <c r="N6" s="26">
        <f>100*M6/L6</f>
        <v/>
      </c>
    </row>
    <row r="7" ht="12.75" customHeight="1">
      <c r="C7" s="4" t="n">
        <v>2</v>
      </c>
      <c r="D7" s="8">
        <f>1+D6</f>
        <v/>
      </c>
      <c r="E7" s="23" t="n">
        <v>-0.0057</v>
      </c>
      <c r="F7" s="23" t="n">
        <v>0.0059</v>
      </c>
      <c r="G7" s="12" t="n">
        <v>99.89</v>
      </c>
      <c r="H7" s="12" t="n">
        <v>24005</v>
      </c>
      <c r="I7" s="24">
        <f>I6*G7/$G$6</f>
        <v/>
      </c>
      <c r="J7" s="25">
        <f>E7-F7</f>
        <v/>
      </c>
      <c r="K7" s="26">
        <f>E7/F7</f>
        <v/>
      </c>
      <c r="L7" s="26">
        <f>(G7/$G$6-1)/(H7/$H$6-1)</f>
        <v/>
      </c>
      <c r="M7" s="25">
        <f>50*(SUM($E$6:E7)-$B$1*C7/365)</f>
        <v/>
      </c>
      <c r="N7" s="26">
        <f>100*M7/L7</f>
        <v/>
      </c>
    </row>
    <row r="8" ht="12.75" customHeight="1">
      <c r="C8" s="4" t="n">
        <v>3</v>
      </c>
      <c r="D8" s="8">
        <f>1+D7</f>
        <v/>
      </c>
      <c r="E8" s="23" t="n">
        <v>0.008500000000000001</v>
      </c>
      <c r="F8" s="23" t="n">
        <v>0.0071</v>
      </c>
      <c r="G8" s="12" t="n">
        <v>100.04</v>
      </c>
      <c r="H8" s="12" t="n">
        <v>24111</v>
      </c>
      <c r="I8" s="24">
        <f>I7*G8/$G$6</f>
        <v/>
      </c>
      <c r="J8" s="25">
        <f>E8-F8</f>
        <v/>
      </c>
      <c r="K8" s="26">
        <f>E8/F8</f>
        <v/>
      </c>
      <c r="L8" s="26">
        <f>(G8/$G$6-1)/(H8/$H$6-1)</f>
        <v/>
      </c>
      <c r="M8" s="25">
        <f>50*(SUM($E$6:E8)-$B$1*C8/365)</f>
        <v/>
      </c>
      <c r="N8" s="26">
        <f>100*M8/L8</f>
        <v/>
      </c>
    </row>
    <row r="9" ht="12.75" customHeight="1">
      <c r="C9" s="4" t="n">
        <v>4</v>
      </c>
      <c r="D9" s="8">
        <f>1+D8</f>
        <v/>
      </c>
      <c r="E9" s="23" t="n">
        <v>0.008</v>
      </c>
      <c r="F9" s="23" t="n">
        <v>0.0039</v>
      </c>
      <c r="G9" s="12" t="n">
        <v>100.96</v>
      </c>
      <c r="H9" s="12" t="n">
        <v>24270</v>
      </c>
      <c r="I9" s="24">
        <f>I8*G9/$G$6</f>
        <v/>
      </c>
      <c r="J9" s="25">
        <f>E9-F9</f>
        <v/>
      </c>
      <c r="K9" s="26">
        <f>E9/F9</f>
        <v/>
      </c>
      <c r="L9" s="26">
        <f>(G9/$G$6-1)/(H9/$H$6-1)</f>
        <v/>
      </c>
      <c r="M9" s="25">
        <f>50*(SUM($E$6:E9)-$B$1*C9/365)</f>
        <v/>
      </c>
      <c r="N9" s="26">
        <f>100*M9/L9</f>
        <v/>
      </c>
    </row>
    <row r="10" ht="12.75" customHeight="1">
      <c r="C10" s="4" t="n">
        <v>5</v>
      </c>
      <c r="D10" s="8">
        <f>1+D9</f>
        <v/>
      </c>
      <c r="E10" s="23" t="n">
        <v>0.008</v>
      </c>
      <c r="F10" s="23" t="n">
        <v>0.0039</v>
      </c>
      <c r="G10" s="12" t="n">
        <v>101.09</v>
      </c>
      <c r="H10" s="12" t="n">
        <v>24270</v>
      </c>
      <c r="I10" s="24">
        <f>I9*G10/$G$6</f>
        <v/>
      </c>
      <c r="J10" s="25">
        <f>E10-F10</f>
        <v/>
      </c>
      <c r="K10" s="26">
        <f>E10/F10</f>
        <v/>
      </c>
      <c r="L10" s="26">
        <f>(G10/$G$6-1)/(H10/$H$6-1)</f>
        <v/>
      </c>
      <c r="M10" s="25">
        <f>50*(SUM($E$6:E10)-$B$1*C10/365)</f>
        <v/>
      </c>
      <c r="N10" s="26">
        <f>100*M10/L10</f>
        <v/>
      </c>
    </row>
    <row r="11" ht="12.75" customHeight="1">
      <c r="C11" s="4" t="n">
        <v>6</v>
      </c>
      <c r="D11" s="8">
        <f>1+D10</f>
        <v/>
      </c>
      <c r="E11" s="23" t="n">
        <v>0.002</v>
      </c>
      <c r="F11" s="23" t="n">
        <v>0.0066</v>
      </c>
      <c r="G11" s="12" t="n">
        <v>101.28</v>
      </c>
      <c r="H11" s="12" t="n">
        <v>24430</v>
      </c>
      <c r="I11" s="24">
        <f>I10*G11/$G$6</f>
        <v/>
      </c>
      <c r="J11" s="25">
        <f>E11-F11</f>
        <v/>
      </c>
      <c r="K11" s="26">
        <f>E11/F11</f>
        <v/>
      </c>
      <c r="L11" s="26">
        <f>(G11/$G$6-1)/(H11/$H$6-1)</f>
        <v/>
      </c>
      <c r="M11" s="25">
        <f>50*(SUM($E$6:E11)-$B$1*C11/365)</f>
        <v/>
      </c>
      <c r="N11" s="26">
        <f>100*M11/L11</f>
        <v/>
      </c>
    </row>
    <row r="12" ht="12.75" customHeight="1">
      <c r="C12" s="4" t="n">
        <v>7</v>
      </c>
      <c r="D12" s="8">
        <f>1+D11</f>
        <v/>
      </c>
      <c r="E12" s="23" t="n">
        <v>-0.0008</v>
      </c>
      <c r="F12" s="23" t="n">
        <v>-0.0013</v>
      </c>
      <c r="G12" s="12" t="n">
        <v>100.17</v>
      </c>
      <c r="H12" s="12" t="n">
        <v>24398</v>
      </c>
      <c r="I12" s="24">
        <f>I11*G12/$G$6</f>
        <v/>
      </c>
      <c r="J12" s="25">
        <f>E12-F12</f>
        <v/>
      </c>
      <c r="K12" s="26">
        <f>E12/F12</f>
        <v/>
      </c>
      <c r="L12" s="26">
        <f>(G12/$G$6-1)/(H12/$H$6-1)</f>
        <v/>
      </c>
      <c r="M12" s="25">
        <f>50*(SUM($E$6:E12)-$B$1*C12/365)</f>
        <v/>
      </c>
      <c r="N12" s="26">
        <f>100*M12/L12</f>
        <v/>
      </c>
    </row>
    <row r="13" ht="12.75" customHeight="1">
      <c r="C13" s="4" t="n">
        <v>8</v>
      </c>
      <c r="D13" s="8">
        <f>1+D12</f>
        <v/>
      </c>
      <c r="E13" s="23" t="n">
        <v>-0.017</v>
      </c>
      <c r="F13" s="23" t="n">
        <v>-0.0212</v>
      </c>
      <c r="G13" s="12" t="n">
        <v>98.36</v>
      </c>
      <c r="H13" s="12" t="n">
        <v>23882</v>
      </c>
      <c r="I13" s="24">
        <f>I12*G13/$G$6</f>
        <v/>
      </c>
      <c r="J13" s="25">
        <f>E13-F13</f>
        <v/>
      </c>
      <c r="K13" s="26">
        <f>E13/F13</f>
        <v/>
      </c>
      <c r="L13" s="26">
        <f>(G13/$G$6-1)/(H13/$H$6-1)</f>
        <v/>
      </c>
      <c r="M13" s="25">
        <f>50*(SUM($E$6:E13)-$B$1*C13/365)</f>
        <v/>
      </c>
      <c r="N13" s="26">
        <f>100*M13/L13</f>
        <v/>
      </c>
    </row>
    <row r="14" ht="12.75" customHeight="1">
      <c r="C14" s="4" t="n">
        <v>9</v>
      </c>
      <c r="D14" s="8">
        <f>1+D13</f>
        <v/>
      </c>
      <c r="E14" s="23" t="n">
        <v>0.0075</v>
      </c>
      <c r="F14" s="23" t="n">
        <v>0.0034</v>
      </c>
      <c r="G14" s="12" t="n">
        <v>99.09999999999999</v>
      </c>
      <c r="H14" s="12" t="n">
        <v>23962</v>
      </c>
      <c r="I14" s="24">
        <f>I13*G14/$G$6</f>
        <v/>
      </c>
      <c r="J14" s="25">
        <f>E14-F14</f>
        <v/>
      </c>
      <c r="K14" s="26">
        <f>E14/F14</f>
        <v/>
      </c>
      <c r="L14" s="26">
        <f>(G14/$G$6-1)/(H14/$H$6-1)</f>
        <v/>
      </c>
      <c r="M14" s="25">
        <f>50*(SUM($E$6:E14)-$B$1*C14/365)</f>
        <v/>
      </c>
      <c r="N14" s="26">
        <f>100*M14/L14</f>
        <v/>
      </c>
    </row>
    <row r="15" ht="12.75" customHeight="1">
      <c r="C15" s="4" t="n">
        <v>10</v>
      </c>
      <c r="D15" s="8">
        <f>1+D14</f>
        <v/>
      </c>
      <c r="E15" s="23" t="n">
        <v>0.0106</v>
      </c>
      <c r="F15" s="23" t="n">
        <v>0.0103</v>
      </c>
      <c r="G15" s="12" t="n">
        <v>100.21</v>
      </c>
      <c r="H15" s="12" t="n">
        <v>24206</v>
      </c>
      <c r="I15" s="24">
        <f>I14*G15/$G$6</f>
        <v/>
      </c>
      <c r="J15" s="25">
        <f>E15-F15</f>
        <v/>
      </c>
      <c r="K15" s="26">
        <f>E15/F15</f>
        <v/>
      </c>
      <c r="L15" s="26">
        <f>(G15/$G$6-1)/(H15/$H$6-1)</f>
        <v/>
      </c>
      <c r="M15" s="25">
        <f>50*(SUM($E$6:E15)-$B$1*C15/365)</f>
        <v/>
      </c>
      <c r="N15" s="26">
        <f>100*M15/L15</f>
        <v/>
      </c>
    </row>
    <row r="16" ht="12.75" customHeight="1">
      <c r="C16" s="4" t="n">
        <v>11</v>
      </c>
      <c r="D16" s="8">
        <f>1+D15</f>
        <v/>
      </c>
      <c r="E16" s="23" t="n"/>
      <c r="F16" s="23" t="n"/>
      <c r="G16" s="12" t="n"/>
      <c r="H16" s="12" t="n"/>
      <c r="I16" s="24">
        <f>I15*G16/$G$6</f>
        <v/>
      </c>
      <c r="J16" s="25">
        <f>E16-F16</f>
        <v/>
      </c>
      <c r="K16" s="26">
        <f>E16/F16</f>
        <v/>
      </c>
      <c r="L16" s="26">
        <f>(G16/$G$6-1)/(H16/$H$6-1)</f>
        <v/>
      </c>
      <c r="M16" s="25">
        <f>50*(SUM($E$6:E16)-$B$1*C16/365)</f>
        <v/>
      </c>
      <c r="N16" s="26">
        <f>100*M16/L16</f>
        <v/>
      </c>
    </row>
    <row r="17" ht="12.75" customHeight="1">
      <c r="C17" s="4" t="n">
        <v>12</v>
      </c>
      <c r="D17" s="8">
        <f>1+D16</f>
        <v/>
      </c>
      <c r="E17" s="23" t="n"/>
      <c r="F17" s="23" t="n"/>
      <c r="G17" s="12" t="n"/>
      <c r="H17" s="12" t="n"/>
      <c r="I17" s="24">
        <f>I16*G17/$G$6</f>
        <v/>
      </c>
      <c r="J17" s="25">
        <f>E17-F17</f>
        <v/>
      </c>
      <c r="K17" s="26">
        <f>E17/F17</f>
        <v/>
      </c>
      <c r="L17" s="26">
        <f>(G17/$G$6-1)/(H17/$H$6-1)</f>
        <v/>
      </c>
      <c r="M17" s="25">
        <f>50*(SUM($E$6:E17)-$B$1*C17/365)</f>
        <v/>
      </c>
      <c r="N17" s="26">
        <f>100*M17/L17</f>
        <v/>
      </c>
    </row>
    <row r="18" ht="12.75" customHeight="1">
      <c r="C18" s="4" t="n">
        <v>13</v>
      </c>
      <c r="D18" s="8">
        <f>1+D17</f>
        <v/>
      </c>
      <c r="E18" s="23" t="n"/>
      <c r="F18" s="23" t="n"/>
      <c r="G18" s="12" t="n"/>
      <c r="H18" s="12" t="n"/>
      <c r="I18" s="24">
        <f>I17*G18/$G$6</f>
        <v/>
      </c>
      <c r="J18" s="25">
        <f>E18-F18</f>
        <v/>
      </c>
      <c r="K18" s="26">
        <f>E18/F18</f>
        <v/>
      </c>
      <c r="L18" s="26">
        <f>(G18/$G$6-1)/(H18/$H$6-1)</f>
        <v/>
      </c>
      <c r="M18" s="25">
        <f>50*(SUM($E$6:E18)-$B$1*C18/365)</f>
        <v/>
      </c>
      <c r="N18" s="26">
        <f>100*M18/L18</f>
        <v/>
      </c>
    </row>
    <row r="19" ht="12.75" customHeight="1">
      <c r="C19" s="4" t="n">
        <v>14</v>
      </c>
      <c r="D19" s="8">
        <f>1+D18</f>
        <v/>
      </c>
      <c r="E19" s="23" t="n"/>
      <c r="F19" s="23" t="n"/>
      <c r="G19" s="12" t="n"/>
      <c r="H19" s="12" t="n"/>
      <c r="I19" s="24">
        <f>I18*G19/$G$6</f>
        <v/>
      </c>
      <c r="J19" s="25">
        <f>E19-F19</f>
        <v/>
      </c>
      <c r="K19" s="26">
        <f>E19/F19</f>
        <v/>
      </c>
      <c r="L19" s="26">
        <f>(G19/$G$6-1)/(H19/$H$6-1)</f>
        <v/>
      </c>
      <c r="M19" s="25">
        <f>50*(SUM($E$6:E19)-$B$1*C19/365)</f>
        <v/>
      </c>
      <c r="N19" s="26">
        <f>100*M19/L19</f>
        <v/>
      </c>
    </row>
    <row r="20" ht="12.75" customHeight="1">
      <c r="C20" s="4" t="n">
        <v>15</v>
      </c>
      <c r="D20" s="8">
        <f>1+D19</f>
        <v/>
      </c>
      <c r="E20" s="23" t="n"/>
      <c r="F20" s="23" t="n"/>
      <c r="G20" s="12" t="n"/>
      <c r="H20" s="12" t="n"/>
      <c r="I20" s="24">
        <f>I19*G20/$G$6</f>
        <v/>
      </c>
      <c r="J20" s="25">
        <f>E20-F20</f>
        <v/>
      </c>
      <c r="K20" s="26">
        <f>E20/F20</f>
        <v/>
      </c>
      <c r="L20" s="26">
        <f>(G20/$G$6-1)/(H20/$H$6-1)</f>
        <v/>
      </c>
      <c r="M20" s="25">
        <f>50*(SUM($E$6:E20)-$B$1*C20/365)</f>
        <v/>
      </c>
      <c r="N20" s="26">
        <f>100*M20/L20</f>
        <v/>
      </c>
    </row>
    <row r="21" ht="12.75" customHeight="1">
      <c r="C21" s="4" t="n">
        <v>16</v>
      </c>
      <c r="D21" s="8">
        <f>1+D20</f>
        <v/>
      </c>
      <c r="E21" s="23" t="n"/>
      <c r="F21" s="23" t="n"/>
      <c r="G21" s="12" t="n"/>
      <c r="H21" s="12" t="n"/>
      <c r="I21" s="24">
        <f>I20*G21/$G$6</f>
        <v/>
      </c>
      <c r="J21" s="25">
        <f>E21-F21</f>
        <v/>
      </c>
      <c r="K21" s="26">
        <f>E21/F21</f>
        <v/>
      </c>
      <c r="L21" s="26">
        <f>(G21/$G$6-1)/(H21/$H$6-1)</f>
        <v/>
      </c>
      <c r="M21" s="25">
        <f>50*(SUM($E$6:E21)-$B$1*C21/365)</f>
        <v/>
      </c>
      <c r="N21" s="26">
        <f>100*M21/L21</f>
        <v/>
      </c>
    </row>
    <row r="22" ht="12.75" customHeight="1">
      <c r="C22" s="4" t="n">
        <v>17</v>
      </c>
      <c r="D22" s="8">
        <f>1+D21</f>
        <v/>
      </c>
      <c r="E22" s="23" t="n"/>
      <c r="F22" s="23" t="n"/>
      <c r="G22" s="12" t="n"/>
      <c r="H22" s="12" t="n"/>
      <c r="I22" s="24">
        <f>I21*G22/$G$6</f>
        <v/>
      </c>
      <c r="J22" s="25">
        <f>E22-F22</f>
        <v/>
      </c>
      <c r="K22" s="26">
        <f>E22/F22</f>
        <v/>
      </c>
      <c r="L22" s="26">
        <f>(G22/$G$6-1)/(H22/$H$6-1)</f>
        <v/>
      </c>
      <c r="M22" s="25">
        <f>50*(SUM($E$6:E22)-$B$1*C22/365)</f>
        <v/>
      </c>
      <c r="N22" s="26">
        <f>100*M22/L22</f>
        <v/>
      </c>
    </row>
    <row r="23" ht="12.75" customHeight="1">
      <c r="C23" s="4" t="n">
        <v>18</v>
      </c>
      <c r="D23" s="8">
        <f>1+D22</f>
        <v/>
      </c>
      <c r="E23" s="23" t="n"/>
      <c r="F23" s="23" t="n"/>
      <c r="G23" s="12" t="n"/>
      <c r="H23" s="12" t="n"/>
      <c r="I23" s="24">
        <f>I22*G23/$G$6</f>
        <v/>
      </c>
      <c r="J23" s="25">
        <f>E23-F23</f>
        <v/>
      </c>
      <c r="K23" s="26">
        <f>E23/F23</f>
        <v/>
      </c>
      <c r="L23" s="26">
        <f>(G23/$G$6-1)/(H23/$H$6-1)</f>
        <v/>
      </c>
      <c r="M23" s="25">
        <f>50*(SUM($E$6:E23)-$B$1*C23/365)</f>
        <v/>
      </c>
      <c r="N23" s="26">
        <f>100*M23/L23</f>
        <v/>
      </c>
    </row>
    <row r="24" ht="12.75" customHeight="1">
      <c r="C24" s="4" t="n">
        <v>19</v>
      </c>
      <c r="D24" s="8">
        <f>1+D23</f>
        <v/>
      </c>
      <c r="E24" s="23" t="n"/>
      <c r="F24" s="23" t="n"/>
      <c r="G24" s="12" t="n"/>
      <c r="H24" s="12" t="n"/>
      <c r="I24" s="24">
        <f>I23*G24/$G$6</f>
        <v/>
      </c>
      <c r="J24" s="25">
        <f>E24-F24</f>
        <v/>
      </c>
      <c r="K24" s="26">
        <f>E24/F24</f>
        <v/>
      </c>
      <c r="L24" s="26">
        <f>(G24/$G$6-1)/(H24/$H$6-1)</f>
        <v/>
      </c>
      <c r="M24" s="25">
        <f>50*(SUM($E$6:E24)-$B$1*C24/365)</f>
        <v/>
      </c>
      <c r="N24" s="26">
        <f>100*M24/L24</f>
        <v/>
      </c>
    </row>
    <row r="25" ht="15.75" customHeight="1">
      <c r="C25" s="4" t="n">
        <v>20</v>
      </c>
      <c r="D25" s="8">
        <f>1+D24</f>
        <v/>
      </c>
      <c r="E25" s="23" t="n"/>
      <c r="F25" s="23" t="n"/>
      <c r="G25" s="12" t="n"/>
      <c r="H25" s="12" t="n"/>
      <c r="I25" s="24">
        <f>I24*G25/$G$6</f>
        <v/>
      </c>
      <c r="J25" s="25">
        <f>E25-F25</f>
        <v/>
      </c>
      <c r="K25" s="26">
        <f>E25/F25</f>
        <v/>
      </c>
      <c r="L25" s="26">
        <f>(G25/$G$6-1)/(H25/$H$6-1)</f>
        <v/>
      </c>
      <c r="M25" s="25">
        <f>50*(SUM($E$6:E25)-$B$1*C25/365)</f>
        <v/>
      </c>
      <c r="N25" s="26">
        <f>100*M25/L25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2026-09-24T17:47:04Z</dcterms:created>
  <dcterms:modified xmlns:dcterms="http://purl.org/dc/terms/" xmlns:xsi="http://www.w3.org/2001/XMLSchema-instance" xsi:type="dcterms:W3CDTF">2026-09-24T17:47:33Z</dcterms:modified>
  <cp:lastModifiedBy>AYUSH KOURAV</cp:lastModifiedBy>
</cp:coreProperties>
</file>